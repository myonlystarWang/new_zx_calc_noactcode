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/>
  <mc:AlternateContent xmlns:mc="http://schemas.openxmlformats.org/markup-compatibility/2006">
    <mc:Choice Requires="x15">
      <x15ac:absPath xmlns:x15ac="http://schemas.microsoft.com/office/spreadsheetml/2010/11/ac" url="D:\王炜\休闲\game\"/>
    </mc:Choice>
  </mc:AlternateContent>
  <xr:revisionPtr revIDLastSave="0" documentId="13_ncr:1_{22FEED73-BF72-4284-B5E3-5B1697BF5628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未名禅伤害计算" sheetId="35" r:id="rId1"/>
    <sheet name="九变伤害计算" sheetId="36" r:id="rId2"/>
    <sheet name="翻攻击计算" sheetId="37" r:id="rId3"/>
    <sheet name="翻攻击计算模版新" sheetId="40" r:id="rId4"/>
    <sheet name="北辰翻攻击" sheetId="39" r:id="rId5"/>
  </sheets>
  <calcPr calcId="191029"/>
</workbook>
</file>

<file path=xl/calcChain.xml><?xml version="1.0" encoding="utf-8"?>
<calcChain xmlns="http://schemas.openxmlformats.org/spreadsheetml/2006/main">
  <c r="K13" i="40" l="1"/>
  <c r="K10" i="40"/>
  <c r="K11" i="40"/>
  <c r="K6" i="40"/>
  <c r="K5" i="40"/>
  <c r="C7" i="40"/>
  <c r="E5" i="40" s="1"/>
  <c r="K12" i="40" l="1"/>
  <c r="G12" i="39" l="1"/>
  <c r="C5" i="40"/>
  <c r="E23" i="40"/>
  <c r="K4" i="40" s="1"/>
  <c r="E3" i="40"/>
  <c r="K9" i="40" l="1"/>
  <c r="K3" i="40"/>
  <c r="G11" i="37"/>
  <c r="G12" i="37" s="1"/>
  <c r="G10" i="37"/>
  <c r="G6" i="37"/>
  <c r="G7" i="37" s="1"/>
  <c r="G5" i="37"/>
  <c r="E12" i="37"/>
  <c r="K14" i="40" l="1"/>
  <c r="E5" i="37"/>
  <c r="G3" i="37" s="1"/>
  <c r="E7" i="39"/>
  <c r="E5" i="39"/>
  <c r="C7" i="39"/>
  <c r="E14" i="39"/>
  <c r="G6" i="39" s="1"/>
  <c r="C5" i="37"/>
  <c r="G4" i="37"/>
  <c r="E10" i="37"/>
  <c r="E3" i="37"/>
  <c r="I24" i="35"/>
  <c r="G5" i="39" l="1"/>
  <c r="G7" i="39" s="1"/>
  <c r="G8" i="39" s="1"/>
  <c r="G9" i="39" s="1"/>
  <c r="G13" i="39"/>
  <c r="G14" i="39" s="1"/>
  <c r="I24" i="36"/>
  <c r="G3" i="36"/>
  <c r="K11" i="36" s="1"/>
  <c r="I17" i="36"/>
  <c r="G17" i="36"/>
  <c r="I16" i="36"/>
  <c r="G16" i="36"/>
  <c r="G15" i="36"/>
  <c r="K5" i="36" s="1"/>
  <c r="G14" i="36"/>
  <c r="K4" i="36" s="1"/>
  <c r="K3" i="36" s="1"/>
  <c r="K7" i="36"/>
  <c r="K6" i="36"/>
  <c r="K10" i="36"/>
  <c r="G3" i="35"/>
  <c r="I17" i="35"/>
  <c r="G17" i="35"/>
  <c r="I16" i="35"/>
  <c r="G16" i="35"/>
  <c r="G15" i="35"/>
  <c r="G14" i="35"/>
  <c r="K4" i="35" s="1"/>
  <c r="K10" i="35"/>
  <c r="K7" i="35"/>
  <c r="K6" i="35"/>
  <c r="K5" i="35"/>
  <c r="K11" i="35"/>
  <c r="C9" i="35" l="1"/>
  <c r="K9" i="35" s="1"/>
  <c r="C9" i="36"/>
  <c r="K9" i="36" s="1"/>
  <c r="M3" i="36" s="1"/>
  <c r="K3" i="35"/>
  <c r="M4" i="35" l="1"/>
  <c r="M3" i="35"/>
  <c r="M4" i="36"/>
  <c r="M13" i="36" s="1"/>
  <c r="M11" i="36"/>
  <c r="M8" i="36"/>
  <c r="M10" i="36"/>
  <c r="M9" i="36"/>
  <c r="M7" i="36"/>
  <c r="M6" i="36" l="1"/>
  <c r="M12" i="36"/>
</calcChain>
</file>

<file path=xl/sharedStrings.xml><?xml version="1.0" encoding="utf-8"?>
<sst xmlns="http://schemas.openxmlformats.org/spreadsheetml/2006/main" count="267" uniqueCount="153">
  <si>
    <t>角色属性</t>
  </si>
  <si>
    <t>目标属性</t>
  </si>
  <si>
    <t>输出值</t>
  </si>
  <si>
    <t>气血</t>
  </si>
  <si>
    <t>附加本体攻击</t>
  </si>
  <si>
    <t>出爆最小伤害</t>
  </si>
  <si>
    <t>真气</t>
  </si>
  <si>
    <t>附加固定攻击</t>
  </si>
  <si>
    <t>出爆最大伤害</t>
  </si>
  <si>
    <t>面板最小攻击</t>
  </si>
  <si>
    <t>最小攻击</t>
  </si>
  <si>
    <t>附加气血上限攻击</t>
  </si>
  <si>
    <t>面板最大攻击</t>
  </si>
  <si>
    <t>最大攻击</t>
  </si>
  <si>
    <t>附加真气上限攻击</t>
  </si>
  <si>
    <t>防御</t>
  </si>
  <si>
    <t>爆伤</t>
  </si>
  <si>
    <t>减爆伤</t>
  </si>
  <si>
    <t>附加防御倍数攻击</t>
  </si>
  <si>
    <t>累计增伤系数</t>
    <phoneticPr fontId="5" type="noConversion"/>
  </si>
  <si>
    <t>爆伤系数</t>
    <phoneticPr fontId="5" type="noConversion"/>
  </si>
  <si>
    <t>对怪物造成技能伤害系数</t>
    <phoneticPr fontId="5" type="noConversion"/>
  </si>
  <si>
    <t>对怪物造成技能伤害（巫咒）</t>
    <phoneticPr fontId="5" type="noConversion"/>
  </si>
  <si>
    <t>对怪造成伤害（面板）</t>
    <phoneticPr fontId="5" type="noConversion"/>
  </si>
  <si>
    <t>对怪造成伤害系数</t>
    <phoneticPr fontId="5" type="noConversion"/>
  </si>
  <si>
    <t>目标受到的伤害增加</t>
    <phoneticPr fontId="5" type="noConversion"/>
  </si>
  <si>
    <t>目标受到的伤害增加系数</t>
    <phoneticPr fontId="5" type="noConversion"/>
  </si>
  <si>
    <t>技能增伤系数</t>
    <phoneticPr fontId="5" type="noConversion"/>
  </si>
  <si>
    <t>技能增伤（专注和对怪技能伤害增加）</t>
    <phoneticPr fontId="5" type="noConversion"/>
  </si>
  <si>
    <t>厄运诅咒（绿点）</t>
    <phoneticPr fontId="5" type="noConversion"/>
  </si>
  <si>
    <t>技能增益计算</t>
    <phoneticPr fontId="5" type="noConversion"/>
  </si>
  <si>
    <t>增益项目</t>
    <phoneticPr fontId="5" type="noConversion"/>
  </si>
  <si>
    <t>挂件附身</t>
    <phoneticPr fontId="5" type="noConversion"/>
  </si>
  <si>
    <t>天音法阵</t>
    <phoneticPr fontId="5" type="noConversion"/>
  </si>
  <si>
    <t>清啸</t>
    <phoneticPr fontId="5" type="noConversion"/>
  </si>
  <si>
    <t>秋声</t>
    <phoneticPr fontId="5" type="noConversion"/>
  </si>
  <si>
    <t>三碗</t>
    <phoneticPr fontId="5" type="noConversion"/>
  </si>
  <si>
    <t>凌寒</t>
    <phoneticPr fontId="5" type="noConversion"/>
  </si>
  <si>
    <t>祝融2</t>
    <phoneticPr fontId="5" type="noConversion"/>
  </si>
  <si>
    <t>上善（2段）</t>
    <phoneticPr fontId="5" type="noConversion"/>
  </si>
  <si>
    <t>金蛇狂舞</t>
    <phoneticPr fontId="5" type="noConversion"/>
  </si>
  <si>
    <t>附加爆伤</t>
    <phoneticPr fontId="5" type="noConversion"/>
  </si>
  <si>
    <t>鸡年</t>
    <phoneticPr fontId="5" type="noConversion"/>
  </si>
  <si>
    <t>副本赠送</t>
    <phoneticPr fontId="5" type="noConversion"/>
  </si>
  <si>
    <t>凤求凰</t>
    <phoneticPr fontId="5" type="noConversion"/>
  </si>
  <si>
    <t>九华</t>
    <phoneticPr fontId="5" type="noConversion"/>
  </si>
  <si>
    <t>家族进阶</t>
    <phoneticPr fontId="5" type="noConversion"/>
  </si>
  <si>
    <t>研彻</t>
    <phoneticPr fontId="5" type="noConversion"/>
  </si>
  <si>
    <t>缓分2</t>
    <phoneticPr fontId="5" type="noConversion"/>
  </si>
  <si>
    <t>御宝白状态爆伤</t>
    <phoneticPr fontId="5" type="noConversion"/>
  </si>
  <si>
    <t>满状态爆伤</t>
    <phoneticPr fontId="5" type="noConversion"/>
  </si>
  <si>
    <t>枕戈</t>
    <phoneticPr fontId="5" type="noConversion"/>
  </si>
  <si>
    <t>云蒸2</t>
    <phoneticPr fontId="5" type="noConversion"/>
  </si>
  <si>
    <t>挂件爆伤</t>
    <phoneticPr fontId="5" type="noConversion"/>
  </si>
  <si>
    <t>伤害系数</t>
    <phoneticPr fontId="5" type="noConversion"/>
  </si>
  <si>
    <t>佳期</t>
    <phoneticPr fontId="5" type="noConversion"/>
  </si>
  <si>
    <t>减免伤害</t>
    <phoneticPr fontId="5" type="noConversion"/>
  </si>
  <si>
    <t>最小基础伤害</t>
    <phoneticPr fontId="5" type="noConversion"/>
  </si>
  <si>
    <t>最大基础伤害</t>
    <phoneticPr fontId="5" type="noConversion"/>
  </si>
  <si>
    <t>枕戈专注</t>
    <phoneticPr fontId="5" type="noConversion"/>
  </si>
  <si>
    <t>第2段</t>
    <phoneticPr fontId="5" type="noConversion"/>
  </si>
  <si>
    <t>第3段</t>
  </si>
  <si>
    <t>第4段</t>
  </si>
  <si>
    <t>第5段</t>
  </si>
  <si>
    <t>第6段</t>
  </si>
  <si>
    <t>第7段</t>
  </si>
  <si>
    <t>第8段</t>
  </si>
  <si>
    <t>第9段</t>
  </si>
  <si>
    <t>挂件御宝白状态爆伤</t>
    <phoneticPr fontId="5" type="noConversion"/>
  </si>
  <si>
    <t>天华满状态云水真气</t>
    <phoneticPr fontId="5" type="noConversion"/>
  </si>
  <si>
    <t>最终属性</t>
    <phoneticPr fontId="8" type="noConversion"/>
  </si>
  <si>
    <t>锐金咒等级</t>
    <phoneticPr fontId="8" type="noConversion"/>
  </si>
  <si>
    <t>攻击增益技能</t>
    <phoneticPr fontId="8" type="noConversion"/>
  </si>
  <si>
    <t>天华鸣泉</t>
    <phoneticPr fontId="8" type="noConversion"/>
  </si>
  <si>
    <t>天华金蛇</t>
    <phoneticPr fontId="8" type="noConversion"/>
  </si>
  <si>
    <t>鬼王天魔附体</t>
    <phoneticPr fontId="8" type="noConversion"/>
  </si>
  <si>
    <t>画影凌寒</t>
    <phoneticPr fontId="8" type="noConversion"/>
  </si>
  <si>
    <t>鬼王猛火</t>
    <phoneticPr fontId="8" type="noConversion"/>
  </si>
  <si>
    <t>佛尊1</t>
    <phoneticPr fontId="8" type="noConversion"/>
  </si>
  <si>
    <t>神爆</t>
    <phoneticPr fontId="8" type="noConversion"/>
  </si>
  <si>
    <t>仙阵营忘情水</t>
    <phoneticPr fontId="8" type="noConversion"/>
  </si>
  <si>
    <t>英招天罡伏魔</t>
    <phoneticPr fontId="8" type="noConversion"/>
  </si>
  <si>
    <t>常状态真气套真气</t>
    <phoneticPr fontId="8" type="noConversion"/>
  </si>
  <si>
    <t>常状态攻击套攻击</t>
    <phoneticPr fontId="8" type="noConversion"/>
  </si>
  <si>
    <t>1%攻击比对应的固定攻击</t>
    <phoneticPr fontId="8" type="noConversion"/>
  </si>
  <si>
    <t>三味真炎火</t>
  </si>
  <si>
    <t>百分比攻击增益总和</t>
    <phoneticPr fontId="8" type="noConversion"/>
  </si>
  <si>
    <t>固定攻击增益总和</t>
    <phoneticPr fontId="8" type="noConversion"/>
  </si>
  <si>
    <t>1%攻击比对应的面板攻击</t>
    <phoneticPr fontId="8" type="noConversion"/>
  </si>
  <si>
    <t>第一轮锐金后攻击</t>
    <phoneticPr fontId="5" type="noConversion"/>
  </si>
  <si>
    <t>第二轮猛火后攻击</t>
    <phoneticPr fontId="5" type="noConversion"/>
  </si>
  <si>
    <t>猛火前攻击</t>
    <phoneticPr fontId="8" type="noConversion"/>
  </si>
  <si>
    <t>猛火后攻击</t>
    <phoneticPr fontId="8" type="noConversion"/>
  </si>
  <si>
    <t>锐金后攻击</t>
    <phoneticPr fontId="8" type="noConversion"/>
  </si>
  <si>
    <t>第二轮锐金后攻击</t>
    <phoneticPr fontId="5" type="noConversion"/>
  </si>
  <si>
    <t>天华云水攻击</t>
    <phoneticPr fontId="5" type="noConversion"/>
  </si>
  <si>
    <t>攻击增益技能</t>
    <phoneticPr fontId="5" type="noConversion"/>
  </si>
  <si>
    <t>最终属性</t>
    <phoneticPr fontId="5" type="noConversion"/>
  </si>
  <si>
    <t>天华鸣泉</t>
    <phoneticPr fontId="5" type="noConversion"/>
  </si>
  <si>
    <t>百分比攻击增益总和</t>
    <phoneticPr fontId="5" type="noConversion"/>
  </si>
  <si>
    <t>天华金蛇</t>
    <phoneticPr fontId="5" type="noConversion"/>
  </si>
  <si>
    <t>固定攻击增益总和</t>
    <phoneticPr fontId="5" type="noConversion"/>
  </si>
  <si>
    <t>鬼王天魔附体</t>
    <phoneticPr fontId="5" type="noConversion"/>
  </si>
  <si>
    <t>画影凌寒</t>
    <phoneticPr fontId="5" type="noConversion"/>
  </si>
  <si>
    <t>鬼王常状态真气套真气</t>
    <phoneticPr fontId="5" type="noConversion"/>
  </si>
  <si>
    <t>佛尊1</t>
    <phoneticPr fontId="5" type="noConversion"/>
  </si>
  <si>
    <t>天华满状态鸣泉真气</t>
    <phoneticPr fontId="5" type="noConversion"/>
  </si>
  <si>
    <t>神爆</t>
    <phoneticPr fontId="5" type="noConversion"/>
  </si>
  <si>
    <t>仙阵营忘情水</t>
    <phoneticPr fontId="5" type="noConversion"/>
  </si>
  <si>
    <t>英招天罡伏魔</t>
    <phoneticPr fontId="5" type="noConversion"/>
  </si>
  <si>
    <t>逐霜批霞揽星</t>
    <phoneticPr fontId="5" type="noConversion"/>
  </si>
  <si>
    <t>法宝融合血杀</t>
    <phoneticPr fontId="5" type="noConversion"/>
  </si>
  <si>
    <t>星语拔山</t>
    <phoneticPr fontId="5" type="noConversion"/>
  </si>
  <si>
    <t>时装碧海痴情</t>
    <phoneticPr fontId="5" type="noConversion"/>
  </si>
  <si>
    <t>大梵般若神通</t>
    <phoneticPr fontId="5" type="noConversion"/>
  </si>
  <si>
    <t>龙虎1</t>
    <phoneticPr fontId="5" type="noConversion"/>
  </si>
  <si>
    <t>家族众志成城</t>
    <phoneticPr fontId="5" type="noConversion"/>
  </si>
  <si>
    <t>三味真炎火</t>
    <phoneticPr fontId="5" type="noConversion"/>
  </si>
  <si>
    <t>时装玉阙玄天</t>
    <phoneticPr fontId="5" type="noConversion"/>
  </si>
  <si>
    <t>时装金蛇狂舞</t>
    <phoneticPr fontId="5" type="noConversion"/>
  </si>
  <si>
    <t>家族同仇敌忾</t>
    <phoneticPr fontId="5" type="noConversion"/>
  </si>
  <si>
    <t>师徒天罡战意</t>
    <phoneticPr fontId="5" type="noConversion"/>
  </si>
  <si>
    <t>第一轮锐金后攻击</t>
    <phoneticPr fontId="8" type="noConversion"/>
  </si>
  <si>
    <t>一波流锐金后攻击</t>
    <phoneticPr fontId="8" type="noConversion"/>
  </si>
  <si>
    <t>一波流猛火后攻击</t>
    <phoneticPr fontId="8" type="noConversion"/>
  </si>
  <si>
    <t>一波流猛火前攻击</t>
    <phoneticPr fontId="8" type="noConversion"/>
  </si>
  <si>
    <t>1%真气比</t>
    <phoneticPr fontId="5" type="noConversion"/>
  </si>
  <si>
    <t>鬼王御宝真气套真气</t>
    <phoneticPr fontId="5" type="noConversion"/>
  </si>
  <si>
    <t>天华满状态云水攻击</t>
    <phoneticPr fontId="5" type="noConversion"/>
  </si>
  <si>
    <t>第一轮枯木前攻击</t>
    <phoneticPr fontId="8" type="noConversion"/>
  </si>
  <si>
    <t>第一轮枯木后防御</t>
    <phoneticPr fontId="8" type="noConversion"/>
  </si>
  <si>
    <t>鬼王御宝攻击套攻击</t>
    <phoneticPr fontId="5" type="noConversion"/>
  </si>
  <si>
    <t>鬼王御宝输出套攻击</t>
    <phoneticPr fontId="5" type="noConversion"/>
  </si>
  <si>
    <t>防御增益技能</t>
    <phoneticPr fontId="5" type="noConversion"/>
  </si>
  <si>
    <t>枯木咒</t>
    <phoneticPr fontId="8" type="noConversion"/>
  </si>
  <si>
    <t>时装龙飞凤舞</t>
    <phoneticPr fontId="5" type="noConversion"/>
  </si>
  <si>
    <t>龙虎4或龙虎3</t>
    <phoneticPr fontId="5" type="noConversion"/>
  </si>
  <si>
    <t>佛尊1</t>
    <phoneticPr fontId="5" type="noConversion"/>
  </si>
  <si>
    <t>佛尊2</t>
    <phoneticPr fontId="5" type="noConversion"/>
  </si>
  <si>
    <t>厚土1</t>
    <phoneticPr fontId="5" type="noConversion"/>
  </si>
  <si>
    <t>万法不侵</t>
    <phoneticPr fontId="8" type="noConversion"/>
  </si>
  <si>
    <t>八级雷煌闪</t>
    <phoneticPr fontId="5" type="noConversion"/>
  </si>
  <si>
    <t>天华秋声/天音金刚</t>
    <phoneticPr fontId="5" type="noConversion"/>
  </si>
  <si>
    <t>第二轮锐金前防御</t>
    <phoneticPr fontId="8" type="noConversion"/>
  </si>
  <si>
    <t>百分比防御增益总和</t>
    <phoneticPr fontId="5" type="noConversion"/>
  </si>
  <si>
    <t>固定防御增益总和</t>
    <phoneticPr fontId="5" type="noConversion"/>
  </si>
  <si>
    <t>1%攻击比</t>
    <phoneticPr fontId="5" type="noConversion"/>
  </si>
  <si>
    <t>清酒</t>
    <phoneticPr fontId="5" type="noConversion"/>
  </si>
  <si>
    <t>鬼王自身防御力</t>
    <phoneticPr fontId="5" type="noConversion"/>
  </si>
  <si>
    <t>鬼王1%防御比</t>
    <phoneticPr fontId="5" type="noConversion"/>
  </si>
  <si>
    <t>鬼王御宝攻击套防御</t>
    <phoneticPr fontId="5" type="noConversion"/>
  </si>
  <si>
    <t>雪琪的祈愿</t>
    <phoneticPr fontId="5" type="noConversion"/>
  </si>
  <si>
    <t>英招五行八卦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</si>
</sst>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%"/>
    <numFmt numFmtId="177" formatCode="0\,0,&quot;万&quot;"/>
    <numFmt numFmtId="178" formatCode="0.00_ "/>
  </numFmts>
  <fonts count="11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b/>
      <sz val="13"/>
      <name val="微软雅黑"/>
      <family val="2"/>
      <charset val="134"/>
    </font>
    <font>
      <b/>
      <sz val="13"/>
      <name val="等线"/>
      <family val="3"/>
      <charset val="134"/>
    </font>
    <font>
      <sz val="13"/>
      <name val="等线"/>
      <family val="3"/>
      <charset val="134"/>
    </font>
    <font>
      <sz val="9"/>
      <name val="等线"/>
      <family val="3"/>
      <charset val="134"/>
      <scheme val="minor"/>
    </font>
    <font>
      <b/>
      <sz val="13"/>
      <color rgb="FFFF0000"/>
      <name val="等线"/>
      <family val="3"/>
      <charset val="134"/>
    </font>
    <font>
      <sz val="13"/>
      <color rgb="FF0070C0"/>
      <name val="等线"/>
      <family val="3"/>
      <charset val="134"/>
    </font>
    <font>
      <sz val="9"/>
      <name val="等线"/>
      <charset val="134"/>
      <scheme val="minor"/>
    </font>
    <font>
      <sz val="13"/>
      <color rgb="FFC00000"/>
      <name val="等线"/>
      <family val="3"/>
      <charset val="134"/>
    </font>
    <font>
      <sz val="13"/>
      <color rgb="FF00B050"/>
      <name val="等线"/>
      <family val="3"/>
      <charset val="134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9" fontId="4" fillId="3" borderId="1" xfId="0" applyNumberFormat="1" applyFont="1" applyFill="1" applyBorder="1" applyAlignment="1">
      <alignment horizontal="left" vertical="center"/>
    </xf>
    <xf numFmtId="9" fontId="3" fillId="3" borderId="1" xfId="0" applyNumberFormat="1" applyFont="1" applyFill="1" applyBorder="1" applyAlignment="1">
      <alignment horizontal="left" vertical="center"/>
    </xf>
    <xf numFmtId="0" fontId="1" fillId="2" borderId="0" xfId="0" applyFont="1" applyFill="1"/>
    <xf numFmtId="0" fontId="3" fillId="3" borderId="0" xfId="0" applyFont="1" applyFill="1" applyAlignment="1">
      <alignment horizontal="left" vertical="center"/>
    </xf>
    <xf numFmtId="177" fontId="4" fillId="3" borderId="1" xfId="0" applyNumberFormat="1" applyFont="1" applyFill="1" applyBorder="1" applyAlignment="1">
      <alignment horizontal="left" vertical="center"/>
    </xf>
    <xf numFmtId="0" fontId="0" fillId="0" borderId="1" xfId="0" applyBorder="1"/>
    <xf numFmtId="177" fontId="6" fillId="3" borderId="1" xfId="0" applyNumberFormat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9" fontId="4" fillId="4" borderId="1" xfId="0" applyNumberFormat="1" applyFont="1" applyFill="1" applyBorder="1" applyAlignment="1">
      <alignment horizontal="left" vertical="center"/>
    </xf>
    <xf numFmtId="9" fontId="3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9" fontId="3" fillId="5" borderId="1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9" fontId="4" fillId="5" borderId="1" xfId="0" applyNumberFormat="1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176" fontId="4" fillId="6" borderId="1" xfId="0" applyNumberFormat="1" applyFont="1" applyFill="1" applyBorder="1" applyAlignment="1">
      <alignment horizontal="left" vertical="center"/>
    </xf>
    <xf numFmtId="176" fontId="3" fillId="7" borderId="1" xfId="0" applyNumberFormat="1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9" fontId="4" fillId="7" borderId="1" xfId="0" applyNumberFormat="1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176" fontId="4" fillId="9" borderId="1" xfId="0" applyNumberFormat="1" applyFont="1" applyFill="1" applyBorder="1" applyAlignment="1">
      <alignment horizontal="left" vertical="center"/>
    </xf>
    <xf numFmtId="9" fontId="4" fillId="9" borderId="1" xfId="0" applyNumberFormat="1" applyFont="1" applyFill="1" applyBorder="1" applyAlignment="1">
      <alignment horizontal="left" vertical="center"/>
    </xf>
    <xf numFmtId="9" fontId="7" fillId="3" borderId="1" xfId="0" applyNumberFormat="1" applyFont="1" applyFill="1" applyBorder="1" applyAlignment="1">
      <alignment horizontal="left" vertical="center"/>
    </xf>
    <xf numFmtId="176" fontId="7" fillId="7" borderId="1" xfId="0" applyNumberFormat="1" applyFont="1" applyFill="1" applyBorder="1" applyAlignment="1">
      <alignment horizontal="left" vertical="center"/>
    </xf>
    <xf numFmtId="176" fontId="4" fillId="3" borderId="1" xfId="0" applyNumberFormat="1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9" fontId="7" fillId="7" borderId="1" xfId="0" applyNumberFormat="1" applyFont="1" applyFill="1" applyBorder="1" applyAlignment="1">
      <alignment horizontal="left" vertical="center"/>
    </xf>
    <xf numFmtId="0" fontId="1" fillId="0" borderId="0" xfId="0" applyFont="1"/>
    <xf numFmtId="9" fontId="9" fillId="7" borderId="1" xfId="0" applyNumberFormat="1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9" fontId="10" fillId="7" borderId="1" xfId="0" applyNumberFormat="1" applyFont="1" applyFill="1" applyBorder="1" applyAlignment="1">
      <alignment horizontal="left" vertical="center"/>
    </xf>
    <xf numFmtId="0" fontId="10" fillId="10" borderId="1" xfId="0" applyFont="1" applyFill="1" applyBorder="1" applyAlignment="1">
      <alignment horizontal="left" vertical="center"/>
    </xf>
    <xf numFmtId="178" fontId="4" fillId="7" borderId="1" xfId="0" applyNumberFormat="1" applyFont="1" applyFill="1" applyBorder="1" applyAlignment="1">
      <alignment horizontal="left" vertical="center"/>
    </xf>
    <xf numFmtId="178" fontId="4" fillId="10" borderId="1" xfId="0" applyNumberFormat="1" applyFont="1" applyFill="1" applyBorder="1" applyAlignment="1">
      <alignment horizontal="left" vertical="center"/>
    </xf>
    <xf numFmtId="178" fontId="4" fillId="3" borderId="1" xfId="0" applyNumberFormat="1" applyFont="1" applyFill="1" applyBorder="1" applyAlignment="1">
      <alignment horizontal="left" vertical="center"/>
    </xf>
    <xf numFmtId="9" fontId="2" fillId="8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974C5-6089-4F77-A59E-825C029C376C}">
  <dimension ref="A2:N25"/>
  <sheetViews>
    <sheetView zoomScale="115" zoomScaleNormal="115" workbookViewId="0">
      <selection activeCell="C6" sqref="C6"/>
    </sheetView>
  </sheetViews>
  <sheetFormatPr defaultColWidth="9" defaultRowHeight="14.25" x14ac:dyDescent="0.2"/>
  <cols>
    <col min="2" max="2" width="25.625" bestFit="1" customWidth="1"/>
    <col min="3" max="3" width="11.5" bestFit="1" customWidth="1"/>
    <col min="4" max="4" width="10.25" bestFit="1" customWidth="1"/>
    <col min="5" max="5" width="8.625" bestFit="1" customWidth="1"/>
    <col min="6" max="6" width="40.875" bestFit="1" customWidth="1"/>
    <col min="7" max="7" width="6.75" bestFit="1" customWidth="1"/>
    <col min="8" max="8" width="13.875" bestFit="1" customWidth="1"/>
    <col min="9" max="9" width="7.375" bestFit="1" customWidth="1"/>
    <col min="10" max="10" width="26.75" bestFit="1" customWidth="1"/>
    <col min="11" max="11" width="14.5" bestFit="1" customWidth="1"/>
    <col min="12" max="12" width="15" bestFit="1" customWidth="1"/>
    <col min="13" max="13" width="12.875" bestFit="1" customWidth="1"/>
    <col min="14" max="14" width="31.75" bestFit="1" customWidth="1"/>
    <col min="15" max="15" width="6.625" bestFit="1" customWidth="1"/>
  </cols>
  <sheetData>
    <row r="2" spans="1:14" s="5" customFormat="1" ht="19.5" x14ac:dyDescent="0.3">
      <c r="A2"/>
      <c r="B2" s="43" t="s">
        <v>0</v>
      </c>
      <c r="C2" s="43"/>
      <c r="D2" s="43" t="s">
        <v>1</v>
      </c>
      <c r="E2" s="43"/>
      <c r="F2" s="43" t="s">
        <v>30</v>
      </c>
      <c r="G2" s="43"/>
      <c r="H2" s="43" t="s">
        <v>31</v>
      </c>
      <c r="I2" s="43"/>
      <c r="J2" s="42" t="s">
        <v>54</v>
      </c>
      <c r="K2" s="42"/>
      <c r="L2" s="42" t="s">
        <v>2</v>
      </c>
      <c r="M2" s="42"/>
    </row>
    <row r="3" spans="1:14" ht="16.5" x14ac:dyDescent="0.2">
      <c r="B3" s="1" t="s">
        <v>3</v>
      </c>
      <c r="C3" s="2">
        <v>2502801</v>
      </c>
      <c r="D3" s="1" t="s">
        <v>3</v>
      </c>
      <c r="E3" s="2">
        <v>0</v>
      </c>
      <c r="F3" s="1" t="s">
        <v>4</v>
      </c>
      <c r="G3" s="3">
        <f>127%+20%+21%</f>
        <v>1.68</v>
      </c>
      <c r="H3" s="23" t="s">
        <v>32</v>
      </c>
      <c r="I3" s="25">
        <v>0.05</v>
      </c>
      <c r="J3" s="4" t="s">
        <v>19</v>
      </c>
      <c r="K3" s="2">
        <f>(K4)*(K5)*(K6)*(K7)</f>
        <v>9.4174080000000018</v>
      </c>
      <c r="L3" s="4" t="s">
        <v>5</v>
      </c>
      <c r="M3" s="9">
        <f>(K10)*(K9)*(K4)*(K5)*(K6)*(K7)</f>
        <v>755297327.34860015</v>
      </c>
    </row>
    <row r="4" spans="1:14" ht="16.5" x14ac:dyDescent="0.2">
      <c r="B4" s="1" t="s">
        <v>6</v>
      </c>
      <c r="C4" s="2">
        <v>2399354</v>
      </c>
      <c r="D4" s="1" t="s">
        <v>6</v>
      </c>
      <c r="E4" s="2">
        <v>0</v>
      </c>
      <c r="F4" s="1" t="s">
        <v>7</v>
      </c>
      <c r="G4" s="2">
        <v>2720</v>
      </c>
      <c r="H4" s="10" t="s">
        <v>33</v>
      </c>
      <c r="I4" s="11">
        <v>0.2</v>
      </c>
      <c r="J4" s="12" t="s">
        <v>27</v>
      </c>
      <c r="K4" s="13">
        <f>1+G14</f>
        <v>2.8</v>
      </c>
      <c r="L4" s="4" t="s">
        <v>8</v>
      </c>
      <c r="M4" s="9">
        <f>(K11)*(K9)*(K4)*(K5)*(K6)*(K7)</f>
        <v>759347534.66433799</v>
      </c>
    </row>
    <row r="5" spans="1:14" ht="16.5" x14ac:dyDescent="0.2">
      <c r="B5" s="1" t="s">
        <v>9</v>
      </c>
      <c r="C5" s="2">
        <v>629501</v>
      </c>
      <c r="D5" s="1" t="s">
        <v>10</v>
      </c>
      <c r="E5" s="2">
        <v>0</v>
      </c>
      <c r="F5" s="1" t="s">
        <v>11</v>
      </c>
      <c r="G5" s="3">
        <v>0</v>
      </c>
      <c r="H5" s="10" t="s">
        <v>34</v>
      </c>
      <c r="I5" s="11">
        <v>0</v>
      </c>
      <c r="J5" s="15" t="s">
        <v>26</v>
      </c>
      <c r="K5" s="14">
        <f>1+G15</f>
        <v>2.2000000000000002</v>
      </c>
      <c r="L5" s="1"/>
      <c r="M5" s="1"/>
    </row>
    <row r="6" spans="1:14" ht="16.5" x14ac:dyDescent="0.2">
      <c r="B6" s="1" t="s">
        <v>12</v>
      </c>
      <c r="C6" s="2">
        <v>637604</v>
      </c>
      <c r="D6" s="1" t="s">
        <v>13</v>
      </c>
      <c r="E6" s="2">
        <v>0</v>
      </c>
      <c r="F6" s="1" t="s">
        <v>14</v>
      </c>
      <c r="G6" s="3">
        <v>0.15</v>
      </c>
      <c r="H6" s="10" t="s">
        <v>35</v>
      </c>
      <c r="I6" s="11">
        <v>0.38</v>
      </c>
      <c r="J6" s="18" t="s">
        <v>21</v>
      </c>
      <c r="K6" s="18">
        <f>1+G17</f>
        <v>1.2250000000000001</v>
      </c>
      <c r="L6" s="1"/>
      <c r="M6" s="1"/>
    </row>
    <row r="7" spans="1:14" ht="16.5" x14ac:dyDescent="0.2">
      <c r="B7" s="1" t="s">
        <v>15</v>
      </c>
      <c r="C7" s="2">
        <v>500000</v>
      </c>
      <c r="D7" s="1" t="s">
        <v>15</v>
      </c>
      <c r="E7" s="2">
        <v>0</v>
      </c>
      <c r="F7" s="1" t="s">
        <v>18</v>
      </c>
      <c r="G7" s="2">
        <v>4</v>
      </c>
      <c r="H7" s="10" t="s">
        <v>36</v>
      </c>
      <c r="I7" s="11">
        <v>0.2</v>
      </c>
      <c r="J7" s="23" t="s">
        <v>24</v>
      </c>
      <c r="K7" s="23">
        <f>1+G18+I3</f>
        <v>1.248</v>
      </c>
      <c r="L7" s="1"/>
      <c r="M7" s="1"/>
    </row>
    <row r="8" spans="1:14" ht="16.5" x14ac:dyDescent="0.2">
      <c r="B8" s="1" t="s">
        <v>49</v>
      </c>
      <c r="C8" s="26">
        <v>17.97</v>
      </c>
      <c r="D8" s="1" t="s">
        <v>16</v>
      </c>
      <c r="E8" s="2">
        <v>0</v>
      </c>
      <c r="F8" s="21" t="s">
        <v>41</v>
      </c>
      <c r="G8" s="22">
        <v>1</v>
      </c>
      <c r="H8" s="10" t="s">
        <v>37</v>
      </c>
      <c r="I8" s="11">
        <v>0.24</v>
      </c>
      <c r="J8" s="8"/>
      <c r="K8" s="8"/>
      <c r="L8" s="1"/>
      <c r="M8" s="1"/>
    </row>
    <row r="9" spans="1:14" ht="16.5" x14ac:dyDescent="0.2">
      <c r="B9" s="21" t="s">
        <v>50</v>
      </c>
      <c r="C9" s="27">
        <f>C8+SUM(I14:I23)+I24*0.05+I25</f>
        <v>26.40456166666667</v>
      </c>
      <c r="D9" s="21" t="s">
        <v>17</v>
      </c>
      <c r="E9" s="22">
        <v>16.600000000000001</v>
      </c>
      <c r="F9" s="8"/>
      <c r="G9" s="8"/>
      <c r="H9" s="10" t="s">
        <v>38</v>
      </c>
      <c r="I9" s="11">
        <v>0</v>
      </c>
      <c r="J9" s="21" t="s">
        <v>20</v>
      </c>
      <c r="K9" s="20">
        <f>C9+G16+G8-E9</f>
        <v>19.804561666666665</v>
      </c>
      <c r="L9" s="1"/>
      <c r="M9" s="1"/>
    </row>
    <row r="10" spans="1:14" ht="16.5" x14ac:dyDescent="0.2">
      <c r="B10" s="1"/>
      <c r="C10" s="2"/>
      <c r="D10" s="1" t="s">
        <v>56</v>
      </c>
      <c r="E10" s="2"/>
      <c r="F10" s="8"/>
      <c r="G10" s="8"/>
      <c r="H10" s="10" t="s">
        <v>39</v>
      </c>
      <c r="I10" s="11">
        <v>0.6</v>
      </c>
      <c r="J10" s="4" t="s">
        <v>57</v>
      </c>
      <c r="K10" s="7">
        <f>(C5*(1+G3)+G4+G7*C7+C3*G5+C4*G6-E7-E10)</f>
        <v>4049685.78</v>
      </c>
      <c r="L10" s="1"/>
      <c r="M10" s="1"/>
    </row>
    <row r="11" spans="1:14" ht="16.5" x14ac:dyDescent="0.2">
      <c r="B11" s="1"/>
      <c r="C11" s="1"/>
      <c r="D11" s="1"/>
      <c r="E11" s="1"/>
      <c r="F11" s="8"/>
      <c r="G11" s="8"/>
      <c r="H11" s="10" t="s">
        <v>40</v>
      </c>
      <c r="I11" s="11">
        <v>0.18</v>
      </c>
      <c r="J11" s="4" t="s">
        <v>58</v>
      </c>
      <c r="K11" s="7">
        <f>(C6*(1+G3)+G4+G7*C7+C3*G5+C4*G6-E7-E10)</f>
        <v>4071401.82</v>
      </c>
      <c r="L11" s="1"/>
      <c r="M11" s="1"/>
    </row>
    <row r="12" spans="1:14" ht="16.5" x14ac:dyDescent="0.2">
      <c r="B12" s="1"/>
      <c r="C12" s="1"/>
      <c r="D12" s="1"/>
      <c r="E12" s="1"/>
      <c r="F12" s="8"/>
      <c r="G12" s="8"/>
      <c r="H12" s="10" t="s">
        <v>59</v>
      </c>
      <c r="I12" s="11">
        <v>0</v>
      </c>
      <c r="J12" s="4"/>
      <c r="K12" s="7"/>
      <c r="L12" s="1"/>
      <c r="M12" s="1"/>
    </row>
    <row r="13" spans="1:14" ht="16.5" x14ac:dyDescent="0.2">
      <c r="B13" s="1" t="s">
        <v>68</v>
      </c>
      <c r="C13" s="26">
        <v>13.21</v>
      </c>
      <c r="D13" s="1"/>
      <c r="E13" s="1"/>
      <c r="F13" s="8"/>
      <c r="G13" s="8"/>
      <c r="H13" s="28"/>
      <c r="I13" s="28"/>
      <c r="J13" s="8"/>
      <c r="K13" s="8"/>
      <c r="L13" s="1"/>
      <c r="M13" s="1"/>
    </row>
    <row r="14" spans="1:14" ht="16.5" x14ac:dyDescent="0.2">
      <c r="B14" s="1" t="s">
        <v>69</v>
      </c>
      <c r="C14" s="29">
        <v>800000</v>
      </c>
      <c r="D14" s="1"/>
      <c r="E14" s="1"/>
      <c r="F14" s="10" t="s">
        <v>28</v>
      </c>
      <c r="G14" s="11">
        <f>I4+I5+I6+I7+I8+I9+I10+I11+I12</f>
        <v>1.8</v>
      </c>
      <c r="H14" s="21" t="s">
        <v>42</v>
      </c>
      <c r="I14" s="30">
        <v>0.27</v>
      </c>
      <c r="J14" s="8"/>
      <c r="K14" s="8"/>
      <c r="L14" s="1"/>
      <c r="M14" s="1"/>
      <c r="N14" s="6"/>
    </row>
    <row r="15" spans="1:14" ht="16.5" x14ac:dyDescent="0.2">
      <c r="B15" s="1"/>
      <c r="C15" s="1"/>
      <c r="D15" s="1"/>
      <c r="E15" s="1"/>
      <c r="F15" s="16" t="s">
        <v>25</v>
      </c>
      <c r="G15" s="17">
        <f>120%</f>
        <v>1.2</v>
      </c>
      <c r="H15" s="21" t="s">
        <v>43</v>
      </c>
      <c r="I15" s="30">
        <v>0.65</v>
      </c>
      <c r="J15" s="8"/>
      <c r="K15" s="8"/>
      <c r="L15" s="1"/>
      <c r="M15" s="1"/>
    </row>
    <row r="16" spans="1:14" ht="16.5" x14ac:dyDescent="0.2">
      <c r="B16" s="1"/>
      <c r="C16" s="1"/>
      <c r="D16" s="1"/>
      <c r="E16" s="1"/>
      <c r="F16" s="21" t="s">
        <v>29</v>
      </c>
      <c r="G16" s="22">
        <f>900%</f>
        <v>9</v>
      </c>
      <c r="H16" s="21" t="s">
        <v>35</v>
      </c>
      <c r="I16" s="30">
        <f>60%+C14/100000*1%</f>
        <v>0.67999999999999994</v>
      </c>
      <c r="J16" s="8"/>
      <c r="K16" s="8"/>
      <c r="L16" s="1"/>
      <c r="M16" s="1"/>
    </row>
    <row r="17" spans="2:13" ht="16.5" x14ac:dyDescent="0.2">
      <c r="B17" s="1"/>
      <c r="C17" s="1"/>
      <c r="D17" s="1"/>
      <c r="E17" s="1"/>
      <c r="F17" s="18" t="s">
        <v>22</v>
      </c>
      <c r="G17" s="19">
        <f>22.5%</f>
        <v>0.22500000000000001</v>
      </c>
      <c r="H17" s="21" t="s">
        <v>44</v>
      </c>
      <c r="I17" s="30">
        <f>150%+C14/30000*1%</f>
        <v>1.7666666666666666</v>
      </c>
      <c r="J17" s="1"/>
      <c r="K17" s="1"/>
      <c r="L17" s="1"/>
      <c r="M17" s="1"/>
    </row>
    <row r="18" spans="2:13" ht="16.5" x14ac:dyDescent="0.2">
      <c r="B18" s="1"/>
      <c r="C18" s="1"/>
      <c r="D18" s="1"/>
      <c r="E18" s="1"/>
      <c r="F18" s="23" t="s">
        <v>23</v>
      </c>
      <c r="G18" s="24">
        <v>0.19800000000000001</v>
      </c>
      <c r="H18" s="21" t="s">
        <v>45</v>
      </c>
      <c r="I18" s="30">
        <v>1.4</v>
      </c>
      <c r="J18" s="1"/>
      <c r="K18" s="1"/>
      <c r="L18" s="1"/>
      <c r="M18" s="1"/>
    </row>
    <row r="19" spans="2:13" ht="16.5" x14ac:dyDescent="0.2">
      <c r="B19" s="1"/>
      <c r="C19" s="1"/>
      <c r="D19" s="1"/>
      <c r="E19" s="1"/>
      <c r="F19" s="1"/>
      <c r="G19" s="3"/>
      <c r="H19" s="21" t="s">
        <v>46</v>
      </c>
      <c r="I19" s="30">
        <v>2.9899999999999999E-2</v>
      </c>
      <c r="J19" s="1"/>
      <c r="K19" s="1"/>
      <c r="L19" s="1"/>
      <c r="M19" s="1"/>
    </row>
    <row r="20" spans="2:13" ht="16.5" x14ac:dyDescent="0.2">
      <c r="B20" s="1"/>
      <c r="C20" s="1"/>
      <c r="D20" s="1"/>
      <c r="E20" s="1"/>
      <c r="F20" s="1"/>
      <c r="G20" s="3"/>
      <c r="H20" s="21" t="s">
        <v>47</v>
      </c>
      <c r="I20" s="30">
        <v>2</v>
      </c>
      <c r="J20" s="1"/>
      <c r="K20" s="1"/>
      <c r="L20" s="1"/>
      <c r="M20" s="1"/>
    </row>
    <row r="21" spans="2:13" ht="16.5" x14ac:dyDescent="0.2">
      <c r="B21" s="1"/>
      <c r="C21" s="1"/>
      <c r="D21" s="1"/>
      <c r="E21" s="1"/>
      <c r="F21" s="1"/>
      <c r="G21" s="3"/>
      <c r="H21" s="21" t="s">
        <v>48</v>
      </c>
      <c r="I21" s="30">
        <v>0.8</v>
      </c>
      <c r="J21" s="1"/>
      <c r="K21" s="1"/>
      <c r="L21" s="1"/>
      <c r="M21" s="1"/>
    </row>
    <row r="22" spans="2:13" ht="16.5" x14ac:dyDescent="0.2">
      <c r="B22" s="1"/>
      <c r="C22" s="1"/>
      <c r="D22" s="1"/>
      <c r="E22" s="1"/>
      <c r="F22" s="1"/>
      <c r="G22" s="3"/>
      <c r="H22" s="21" t="s">
        <v>51</v>
      </c>
      <c r="I22" s="30">
        <v>0</v>
      </c>
      <c r="J22" s="1"/>
      <c r="K22" s="1"/>
      <c r="L22" s="1"/>
      <c r="M22" s="1"/>
    </row>
    <row r="23" spans="2:13" ht="16.5" x14ac:dyDescent="0.2">
      <c r="B23" s="1"/>
      <c r="C23" s="1"/>
      <c r="D23" s="1"/>
      <c r="E23" s="1"/>
      <c r="F23" s="1"/>
      <c r="G23" s="3"/>
      <c r="H23" s="21" t="s">
        <v>52</v>
      </c>
      <c r="I23" s="30">
        <v>0</v>
      </c>
      <c r="J23" s="1"/>
      <c r="K23" s="1"/>
      <c r="L23" s="1"/>
      <c r="M23" s="1"/>
    </row>
    <row r="24" spans="2:13" ht="16.5" x14ac:dyDescent="0.2">
      <c r="B24" s="1"/>
      <c r="C24" s="1"/>
      <c r="D24" s="1"/>
      <c r="E24" s="1"/>
      <c r="F24" s="1"/>
      <c r="G24" s="3"/>
      <c r="H24" s="21" t="s">
        <v>53</v>
      </c>
      <c r="I24" s="30">
        <f>C13+I15+I14+60%+I19</f>
        <v>14.7599</v>
      </c>
      <c r="J24" s="1"/>
      <c r="K24" s="1"/>
      <c r="L24" s="1"/>
      <c r="M24" s="1"/>
    </row>
    <row r="25" spans="2:13" ht="16.5" x14ac:dyDescent="0.2">
      <c r="B25" s="1"/>
      <c r="C25" s="1"/>
      <c r="D25" s="1"/>
      <c r="E25" s="1"/>
      <c r="F25" s="1"/>
      <c r="G25" s="3"/>
      <c r="H25" s="21" t="s">
        <v>55</v>
      </c>
      <c r="I25" s="30">
        <v>0.1</v>
      </c>
      <c r="J25" s="1"/>
      <c r="K25" s="1"/>
      <c r="L25" s="1"/>
      <c r="M25" s="1"/>
    </row>
  </sheetData>
  <mergeCells count="6">
    <mergeCell ref="L2:M2"/>
    <mergeCell ref="B2:C2"/>
    <mergeCell ref="D2:E2"/>
    <mergeCell ref="F2:G2"/>
    <mergeCell ref="H2:I2"/>
    <mergeCell ref="J2:K2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A20B0-3BF4-41C6-9652-9D07E60C23E6}">
  <dimension ref="A2:N25"/>
  <sheetViews>
    <sheetView zoomScale="115" zoomScaleNormal="115" workbookViewId="0">
      <selection activeCell="C3" sqref="C3:C7"/>
    </sheetView>
  </sheetViews>
  <sheetFormatPr defaultColWidth="9" defaultRowHeight="14.25" x14ac:dyDescent="0.2"/>
  <cols>
    <col min="2" max="2" width="25.625" bestFit="1" customWidth="1"/>
    <col min="3" max="3" width="11.5" bestFit="1" customWidth="1"/>
    <col min="4" max="4" width="10.25" bestFit="1" customWidth="1"/>
    <col min="5" max="5" width="8.625" bestFit="1" customWidth="1"/>
    <col min="6" max="6" width="40.875" bestFit="1" customWidth="1"/>
    <col min="7" max="7" width="6.75" bestFit="1" customWidth="1"/>
    <col min="8" max="8" width="13.875" bestFit="1" customWidth="1"/>
    <col min="9" max="9" width="7.375" bestFit="1" customWidth="1"/>
    <col min="10" max="10" width="26.75" bestFit="1" customWidth="1"/>
    <col min="11" max="11" width="14.5" bestFit="1" customWidth="1"/>
    <col min="12" max="12" width="15" bestFit="1" customWidth="1"/>
    <col min="13" max="13" width="12.875" bestFit="1" customWidth="1"/>
    <col min="14" max="14" width="31.75" bestFit="1" customWidth="1"/>
    <col min="15" max="15" width="6.625" bestFit="1" customWidth="1"/>
  </cols>
  <sheetData>
    <row r="2" spans="1:14" s="5" customFormat="1" ht="19.5" x14ac:dyDescent="0.3">
      <c r="A2"/>
      <c r="B2" s="43" t="s">
        <v>0</v>
      </c>
      <c r="C2" s="43"/>
      <c r="D2" s="43" t="s">
        <v>1</v>
      </c>
      <c r="E2" s="43"/>
      <c r="F2" s="43" t="s">
        <v>30</v>
      </c>
      <c r="G2" s="43"/>
      <c r="H2" s="43" t="s">
        <v>31</v>
      </c>
      <c r="I2" s="43"/>
      <c r="J2" s="42" t="s">
        <v>54</v>
      </c>
      <c r="K2" s="42"/>
      <c r="L2" s="42" t="s">
        <v>2</v>
      </c>
      <c r="M2" s="42"/>
    </row>
    <row r="3" spans="1:14" ht="16.5" x14ac:dyDescent="0.2">
      <c r="B3" s="1" t="s">
        <v>3</v>
      </c>
      <c r="C3" s="2">
        <v>2352801</v>
      </c>
      <c r="D3" s="1" t="s">
        <v>3</v>
      </c>
      <c r="E3" s="2">
        <v>0</v>
      </c>
      <c r="F3" s="1" t="s">
        <v>4</v>
      </c>
      <c r="G3" s="3">
        <f>130%</f>
        <v>1.3</v>
      </c>
      <c r="H3" s="23" t="s">
        <v>32</v>
      </c>
      <c r="I3" s="25">
        <v>0.05</v>
      </c>
      <c r="J3" s="4" t="s">
        <v>19</v>
      </c>
      <c r="K3" s="2">
        <f>(K4)*(K5)*(K6)*(K7)</f>
        <v>10.157347200000002</v>
      </c>
      <c r="L3" s="4" t="s">
        <v>5</v>
      </c>
      <c r="M3" s="9">
        <f>(K10)*(K9)*(K4)*(K5)*(K6)*(K7)</f>
        <v>596573980.85084331</v>
      </c>
    </row>
    <row r="4" spans="1:14" ht="16.5" x14ac:dyDescent="0.2">
      <c r="B4" s="1" t="s">
        <v>6</v>
      </c>
      <c r="C4" s="2">
        <v>2189354</v>
      </c>
      <c r="D4" s="1" t="s">
        <v>6</v>
      </c>
      <c r="E4" s="2">
        <v>0</v>
      </c>
      <c r="F4" s="1" t="s">
        <v>7</v>
      </c>
      <c r="G4" s="2">
        <v>2720</v>
      </c>
      <c r="H4" s="10" t="s">
        <v>33</v>
      </c>
      <c r="I4" s="11">
        <v>0.2</v>
      </c>
      <c r="J4" s="12" t="s">
        <v>27</v>
      </c>
      <c r="K4" s="13">
        <f>1+G14</f>
        <v>3.02</v>
      </c>
      <c r="L4" s="4" t="s">
        <v>8</v>
      </c>
      <c r="M4" s="9">
        <f>(K11)*(K9)*(K4)*(K5)*(K6)*(K7)</f>
        <v>601438340.04725218</v>
      </c>
    </row>
    <row r="5" spans="1:14" ht="16.5" x14ac:dyDescent="0.2">
      <c r="B5" s="1" t="s">
        <v>9</v>
      </c>
      <c r="C5" s="2">
        <v>602152</v>
      </c>
      <c r="D5" s="1" t="s">
        <v>10</v>
      </c>
      <c r="E5" s="2">
        <v>0</v>
      </c>
      <c r="F5" s="1" t="s">
        <v>11</v>
      </c>
      <c r="G5" s="3">
        <v>0.2</v>
      </c>
      <c r="H5" s="10" t="s">
        <v>34</v>
      </c>
      <c r="I5" s="11">
        <v>0</v>
      </c>
      <c r="J5" s="15" t="s">
        <v>26</v>
      </c>
      <c r="K5" s="14">
        <f>1+G15</f>
        <v>2.2000000000000002</v>
      </c>
      <c r="L5" s="1"/>
      <c r="M5" s="1"/>
    </row>
    <row r="6" spans="1:14" ht="16.5" x14ac:dyDescent="0.2">
      <c r="B6" s="1" t="s">
        <v>12</v>
      </c>
      <c r="C6" s="2">
        <v>610292</v>
      </c>
      <c r="D6" s="1" t="s">
        <v>13</v>
      </c>
      <c r="E6" s="2">
        <v>0</v>
      </c>
      <c r="F6" s="1" t="s">
        <v>14</v>
      </c>
      <c r="G6" s="3">
        <v>0.2</v>
      </c>
      <c r="H6" s="10" t="s">
        <v>35</v>
      </c>
      <c r="I6" s="11">
        <v>0.38</v>
      </c>
      <c r="J6" s="18" t="s">
        <v>21</v>
      </c>
      <c r="K6" s="18">
        <f>1+G17</f>
        <v>1.2250000000000001</v>
      </c>
      <c r="L6" s="1" t="s">
        <v>60</v>
      </c>
      <c r="M6" s="9">
        <f>IF(M4*1.3&lt;=2140000000,M4*1.3,2140000000)</f>
        <v>781869842.06142783</v>
      </c>
    </row>
    <row r="7" spans="1:14" ht="16.5" x14ac:dyDescent="0.2">
      <c r="B7" s="1" t="s">
        <v>15</v>
      </c>
      <c r="C7" s="2">
        <v>500000</v>
      </c>
      <c r="D7" s="1" t="s">
        <v>15</v>
      </c>
      <c r="E7" s="2">
        <v>0</v>
      </c>
      <c r="F7" s="1" t="s">
        <v>18</v>
      </c>
      <c r="G7" s="2">
        <v>0</v>
      </c>
      <c r="H7" s="10" t="s">
        <v>36</v>
      </c>
      <c r="I7" s="11">
        <v>0.2</v>
      </c>
      <c r="J7" s="23" t="s">
        <v>24</v>
      </c>
      <c r="K7" s="23">
        <f>1+G18+I3</f>
        <v>1.248</v>
      </c>
      <c r="L7" s="1" t="s">
        <v>61</v>
      </c>
      <c r="M7" s="9">
        <f>IF(M4*1.3*1.3&lt;=2140000000,M4*1.3*1.3,2140000000)</f>
        <v>1016430794.6798562</v>
      </c>
    </row>
    <row r="8" spans="1:14" ht="16.5" x14ac:dyDescent="0.2">
      <c r="B8" s="1" t="s">
        <v>49</v>
      </c>
      <c r="C8" s="26">
        <v>17.97</v>
      </c>
      <c r="D8" s="1" t="s">
        <v>16</v>
      </c>
      <c r="E8" s="2">
        <v>0</v>
      </c>
      <c r="F8" s="21" t="s">
        <v>41</v>
      </c>
      <c r="G8" s="22">
        <v>0</v>
      </c>
      <c r="H8" s="10" t="s">
        <v>37</v>
      </c>
      <c r="I8" s="11">
        <v>0.24</v>
      </c>
      <c r="J8" s="8"/>
      <c r="K8" s="8"/>
      <c r="L8" s="1" t="s">
        <v>62</v>
      </c>
      <c r="M8" s="9">
        <f>IF(M4*1.3*1.3*1.3&lt;=2140000000,M4*1.3*1.3*1.3,2140000000)</f>
        <v>1321360033.0838132</v>
      </c>
    </row>
    <row r="9" spans="1:14" ht="16.5" x14ac:dyDescent="0.2">
      <c r="B9" s="21" t="s">
        <v>50</v>
      </c>
      <c r="C9" s="27">
        <f>C8+SUM(I14:I23)+I24*0.05+I25</f>
        <v>26.479561666666665</v>
      </c>
      <c r="D9" s="21" t="s">
        <v>17</v>
      </c>
      <c r="E9" s="22">
        <v>9.9</v>
      </c>
      <c r="F9" s="8"/>
      <c r="G9" s="8"/>
      <c r="H9" s="10" t="s">
        <v>38</v>
      </c>
      <c r="I9" s="11">
        <v>0.22</v>
      </c>
      <c r="J9" s="21" t="s">
        <v>20</v>
      </c>
      <c r="K9" s="20">
        <f>C9+G16+G8-E9</f>
        <v>25.57956166666667</v>
      </c>
      <c r="L9" s="1" t="s">
        <v>63</v>
      </c>
      <c r="M9" s="9">
        <f>IF(M4*1.3*1.3*1.3*1.3&lt;=2140000000,M4*1.3*1.3*1.3*1.3,2140000000)</f>
        <v>1717768043.0089571</v>
      </c>
    </row>
    <row r="10" spans="1:14" ht="16.5" x14ac:dyDescent="0.2">
      <c r="B10" s="1"/>
      <c r="C10" s="2"/>
      <c r="D10" s="1" t="s">
        <v>56</v>
      </c>
      <c r="E10" s="2"/>
      <c r="F10" s="8"/>
      <c r="G10" s="8"/>
      <c r="H10" s="10" t="s">
        <v>39</v>
      </c>
      <c r="I10" s="11">
        <v>0.6</v>
      </c>
      <c r="J10" s="4" t="s">
        <v>57</v>
      </c>
      <c r="K10" s="7">
        <f>(C5*(1+G3)+G4+G7*C7+C3*G5+C4*G6-E7-E10)</f>
        <v>2296100.5999999996</v>
      </c>
      <c r="L10" s="1" t="s">
        <v>64</v>
      </c>
      <c r="M10" s="9">
        <f>IF(M4*1.3*1.3*1.3*1.3*1.3&lt;=2140000000,M4*1.3*1.3*1.3*1.3*1.3,2140000000)</f>
        <v>2140000000</v>
      </c>
    </row>
    <row r="11" spans="1:14" ht="16.5" x14ac:dyDescent="0.2">
      <c r="B11" s="1"/>
      <c r="C11" s="1"/>
      <c r="D11" s="1"/>
      <c r="E11" s="1"/>
      <c r="F11" s="8"/>
      <c r="G11" s="8"/>
      <c r="H11" s="10" t="s">
        <v>40</v>
      </c>
      <c r="I11" s="11">
        <v>0.18</v>
      </c>
      <c r="J11" s="4" t="s">
        <v>58</v>
      </c>
      <c r="K11" s="7">
        <f>(C6*(1+G3)+G4+G7*C7+C3*G5+C4*G6-E7-E10)</f>
        <v>2314822.5999999996</v>
      </c>
      <c r="L11" s="1" t="s">
        <v>65</v>
      </c>
      <c r="M11" s="9">
        <f>IF(M4*1.3*1.3*1.3*1.3*1.3*1.3&lt;=2140000000,M4*1.3*1.3*1.3*1.3*1.3*1.3,2140000000)</f>
        <v>2140000000</v>
      </c>
    </row>
    <row r="12" spans="1:14" ht="16.5" x14ac:dyDescent="0.2">
      <c r="B12" s="1"/>
      <c r="C12" s="1"/>
      <c r="D12" s="1"/>
      <c r="E12" s="1"/>
      <c r="F12" s="8"/>
      <c r="G12" s="8"/>
      <c r="H12" s="10" t="s">
        <v>59</v>
      </c>
      <c r="I12" s="11">
        <v>0</v>
      </c>
      <c r="J12" s="4"/>
      <c r="K12" s="7"/>
      <c r="L12" s="1" t="s">
        <v>66</v>
      </c>
      <c r="M12" s="9">
        <f>IF(M4*1.3*1.3*1.3*1.3*1.3*1.3*1.3&lt;=2140000000,M4*1.3*1.3*1.3*1.3*1.3*1.3*1.3,2140000000)</f>
        <v>2140000000</v>
      </c>
    </row>
    <row r="13" spans="1:14" ht="16.5" x14ac:dyDescent="0.2">
      <c r="B13" s="1" t="s">
        <v>68</v>
      </c>
      <c r="C13" s="26">
        <v>13.41</v>
      </c>
      <c r="D13" s="1"/>
      <c r="E13" s="1"/>
      <c r="F13" s="8"/>
      <c r="G13" s="8"/>
      <c r="H13" s="28"/>
      <c r="I13" s="28"/>
      <c r="J13" s="8"/>
      <c r="K13" s="8"/>
      <c r="L13" s="1" t="s">
        <v>67</v>
      </c>
      <c r="M13" s="9">
        <f>IF(M4*1.3*1.3*1.3*1.3*1.3*1.3*1.3*1.3&lt;=2140000000,M4*1.3*1.3*1.3*1.3*1.3*1.3*1.3*1.3,2140000000)</f>
        <v>2140000000</v>
      </c>
    </row>
    <row r="14" spans="1:14" ht="16.5" x14ac:dyDescent="0.2">
      <c r="B14" s="1" t="s">
        <v>69</v>
      </c>
      <c r="C14" s="29">
        <v>950000</v>
      </c>
      <c r="D14" s="1"/>
      <c r="E14" s="1"/>
      <c r="F14" s="10" t="s">
        <v>28</v>
      </c>
      <c r="G14" s="11">
        <f>I4+I5+I6+I7+I8+I9+I10+I11+I12</f>
        <v>2.02</v>
      </c>
      <c r="H14" s="21" t="s">
        <v>42</v>
      </c>
      <c r="I14" s="30">
        <v>0.27</v>
      </c>
      <c r="J14" s="8"/>
      <c r="K14" s="8"/>
      <c r="L14" s="1"/>
      <c r="M14" s="1"/>
      <c r="N14" s="6"/>
    </row>
    <row r="15" spans="1:14" ht="16.5" x14ac:dyDescent="0.2">
      <c r="B15" s="1"/>
      <c r="C15" s="1"/>
      <c r="D15" s="1"/>
      <c r="E15" s="1"/>
      <c r="F15" s="16" t="s">
        <v>25</v>
      </c>
      <c r="G15" s="17">
        <f>120%</f>
        <v>1.2</v>
      </c>
      <c r="H15" s="21" t="s">
        <v>43</v>
      </c>
      <c r="I15" s="30">
        <v>0.65</v>
      </c>
      <c r="J15" s="8"/>
      <c r="K15" s="8"/>
      <c r="L15" s="1"/>
      <c r="M15" s="1"/>
    </row>
    <row r="16" spans="1:14" ht="16.5" x14ac:dyDescent="0.2">
      <c r="B16" s="1"/>
      <c r="C16" s="1"/>
      <c r="D16" s="1"/>
      <c r="E16" s="1"/>
      <c r="F16" s="21" t="s">
        <v>29</v>
      </c>
      <c r="G16" s="22">
        <f>900%</f>
        <v>9</v>
      </c>
      <c r="H16" s="21" t="s">
        <v>35</v>
      </c>
      <c r="I16" s="30">
        <f>60%+C14/100000*1%</f>
        <v>0.69499999999999995</v>
      </c>
      <c r="J16" s="8"/>
      <c r="K16" s="8"/>
      <c r="L16" s="1"/>
      <c r="M16" s="1"/>
    </row>
    <row r="17" spans="2:13" ht="16.5" x14ac:dyDescent="0.2">
      <c r="B17" s="1"/>
      <c r="C17" s="1"/>
      <c r="D17" s="1"/>
      <c r="E17" s="1"/>
      <c r="F17" s="18" t="s">
        <v>22</v>
      </c>
      <c r="G17" s="19">
        <f>22.5%</f>
        <v>0.22500000000000001</v>
      </c>
      <c r="H17" s="21" t="s">
        <v>44</v>
      </c>
      <c r="I17" s="30">
        <f>150%+C14/30000*1%</f>
        <v>1.8166666666666667</v>
      </c>
      <c r="J17" s="1"/>
      <c r="K17" s="1"/>
      <c r="L17" s="1"/>
      <c r="M17" s="1"/>
    </row>
    <row r="18" spans="2:13" ht="16.5" x14ac:dyDescent="0.2">
      <c r="B18" s="1"/>
      <c r="C18" s="1"/>
      <c r="D18" s="1"/>
      <c r="E18" s="1"/>
      <c r="F18" s="23" t="s">
        <v>23</v>
      </c>
      <c r="G18" s="24">
        <v>0.19800000000000001</v>
      </c>
      <c r="H18" s="21" t="s">
        <v>45</v>
      </c>
      <c r="I18" s="30">
        <v>1.4</v>
      </c>
      <c r="J18" s="1"/>
      <c r="K18" s="1"/>
      <c r="L18" s="1"/>
      <c r="M18" s="1"/>
    </row>
    <row r="19" spans="2:13" ht="16.5" x14ac:dyDescent="0.2">
      <c r="B19" s="1"/>
      <c r="C19" s="1"/>
      <c r="D19" s="1"/>
      <c r="E19" s="1"/>
      <c r="F19" s="1"/>
      <c r="G19" s="3"/>
      <c r="H19" s="21" t="s">
        <v>46</v>
      </c>
      <c r="I19" s="30">
        <v>2.9899999999999999E-2</v>
      </c>
      <c r="J19" s="1"/>
      <c r="K19" s="1"/>
      <c r="L19" s="1"/>
      <c r="M19" s="1"/>
    </row>
    <row r="20" spans="2:13" ht="16.5" x14ac:dyDescent="0.2">
      <c r="B20" s="1"/>
      <c r="C20" s="1"/>
      <c r="D20" s="1"/>
      <c r="E20" s="1"/>
      <c r="F20" s="1"/>
      <c r="G20" s="3"/>
      <c r="H20" s="21" t="s">
        <v>47</v>
      </c>
      <c r="I20" s="30">
        <v>2</v>
      </c>
      <c r="J20" s="1"/>
      <c r="K20" s="1"/>
      <c r="L20" s="1"/>
      <c r="M20" s="1"/>
    </row>
    <row r="21" spans="2:13" ht="16.5" x14ac:dyDescent="0.2">
      <c r="B21" s="1"/>
      <c r="C21" s="1"/>
      <c r="D21" s="1"/>
      <c r="E21" s="1"/>
      <c r="F21" s="1"/>
      <c r="G21" s="3"/>
      <c r="H21" s="21" t="s">
        <v>48</v>
      </c>
      <c r="I21" s="30">
        <v>0.8</v>
      </c>
      <c r="J21" s="1"/>
      <c r="K21" s="1"/>
      <c r="L21" s="1"/>
      <c r="M21" s="1"/>
    </row>
    <row r="22" spans="2:13" ht="16.5" x14ac:dyDescent="0.2">
      <c r="B22" s="1"/>
      <c r="C22" s="1"/>
      <c r="D22" s="1"/>
      <c r="E22" s="1"/>
      <c r="F22" s="1"/>
      <c r="G22" s="3"/>
      <c r="H22" s="21" t="s">
        <v>51</v>
      </c>
      <c r="I22" s="30">
        <v>0</v>
      </c>
      <c r="J22" s="1"/>
      <c r="K22" s="1"/>
      <c r="L22" s="1"/>
      <c r="M22" s="1"/>
    </row>
    <row r="23" spans="2:13" ht="16.5" x14ac:dyDescent="0.2">
      <c r="B23" s="1"/>
      <c r="C23" s="1"/>
      <c r="D23" s="1"/>
      <c r="E23" s="1"/>
      <c r="F23" s="1"/>
      <c r="G23" s="3"/>
      <c r="H23" s="21" t="s">
        <v>52</v>
      </c>
      <c r="I23" s="30">
        <v>0</v>
      </c>
      <c r="J23" s="1"/>
      <c r="K23" s="1"/>
      <c r="L23" s="1"/>
      <c r="M23" s="1"/>
    </row>
    <row r="24" spans="2:13" ht="16.5" x14ac:dyDescent="0.2">
      <c r="B24" s="1"/>
      <c r="C24" s="1"/>
      <c r="D24" s="1"/>
      <c r="E24" s="1"/>
      <c r="F24" s="1"/>
      <c r="G24" s="3"/>
      <c r="H24" s="21" t="s">
        <v>53</v>
      </c>
      <c r="I24" s="30">
        <f>C13+I15+I14+60%+I19</f>
        <v>14.959899999999999</v>
      </c>
      <c r="J24" s="1"/>
      <c r="K24" s="1"/>
      <c r="L24" s="1"/>
      <c r="M24" s="1"/>
    </row>
    <row r="25" spans="2:13" ht="16.5" x14ac:dyDescent="0.2">
      <c r="B25" s="1"/>
      <c r="C25" s="1"/>
      <c r="D25" s="1"/>
      <c r="E25" s="1"/>
      <c r="F25" s="1"/>
      <c r="G25" s="3"/>
      <c r="H25" s="21" t="s">
        <v>55</v>
      </c>
      <c r="I25" s="30">
        <v>0.1</v>
      </c>
      <c r="J25" s="1"/>
      <c r="K25" s="1"/>
      <c r="L25" s="1"/>
      <c r="M25" s="1"/>
    </row>
  </sheetData>
  <mergeCells count="6">
    <mergeCell ref="L2:M2"/>
    <mergeCell ref="B2:C2"/>
    <mergeCell ref="D2:E2"/>
    <mergeCell ref="F2:G2"/>
    <mergeCell ref="H2:I2"/>
    <mergeCell ref="J2:K2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9B036-A7FF-4AAA-ACD5-7951081153A0}">
  <dimension ref="A2:BG19"/>
  <sheetViews>
    <sheetView zoomScale="115" zoomScaleNormal="115" workbookViewId="0">
      <selection activeCell="D23" sqref="D23"/>
    </sheetView>
  </sheetViews>
  <sheetFormatPr defaultColWidth="9" defaultRowHeight="14.25" x14ac:dyDescent="0.2"/>
  <cols>
    <col min="2" max="2" width="26.875" bestFit="1" customWidth="1"/>
    <col min="3" max="3" width="11.5" bestFit="1" customWidth="1"/>
    <col min="4" max="4" width="15" bestFit="1" customWidth="1"/>
    <col min="5" max="5" width="8.5" customWidth="1"/>
    <col min="6" max="6" width="22" bestFit="1" customWidth="1"/>
    <col min="7" max="7" width="8.5" bestFit="1" customWidth="1"/>
  </cols>
  <sheetData>
    <row r="2" spans="1:59" s="5" customFormat="1" ht="19.5" x14ac:dyDescent="0.3">
      <c r="A2"/>
      <c r="B2" s="43" t="s">
        <v>0</v>
      </c>
      <c r="C2" s="43"/>
      <c r="D2" s="43" t="s">
        <v>72</v>
      </c>
      <c r="E2" s="43"/>
      <c r="F2" s="43" t="s">
        <v>70</v>
      </c>
      <c r="G2" s="43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</row>
    <row r="3" spans="1:59" ht="16.5" x14ac:dyDescent="0.2">
      <c r="B3" s="1" t="s">
        <v>83</v>
      </c>
      <c r="C3" s="2">
        <v>105000</v>
      </c>
      <c r="D3" s="1" t="s">
        <v>73</v>
      </c>
      <c r="E3" s="3">
        <f>3%+10%+C8/50000*1%</f>
        <v>0.29000000000000004</v>
      </c>
      <c r="F3" s="1" t="s">
        <v>86</v>
      </c>
      <c r="G3" s="2">
        <f>C6*(E3+E4+E5+E6+E7+E8+E9+E10)*100</f>
        <v>21996.000000000004</v>
      </c>
    </row>
    <row r="4" spans="1:59" ht="16.5" x14ac:dyDescent="0.2">
      <c r="B4" s="1" t="s">
        <v>82</v>
      </c>
      <c r="C4" s="2">
        <v>1248000</v>
      </c>
      <c r="D4" s="1" t="s">
        <v>74</v>
      </c>
      <c r="E4" s="3">
        <v>0.3</v>
      </c>
      <c r="F4" s="1" t="s">
        <v>87</v>
      </c>
      <c r="G4" s="2">
        <f>E11</f>
        <v>4912.5</v>
      </c>
    </row>
    <row r="5" spans="1:59" ht="16.5" x14ac:dyDescent="0.2">
      <c r="B5" s="1" t="s">
        <v>71</v>
      </c>
      <c r="C5" s="2">
        <f>5+1</f>
        <v>6</v>
      </c>
      <c r="D5" s="1" t="s">
        <v>75</v>
      </c>
      <c r="E5" s="3">
        <f>20%+C4/50000*1%</f>
        <v>0.4496</v>
      </c>
      <c r="F5" s="1" t="s">
        <v>91</v>
      </c>
      <c r="G5" s="2">
        <f>C3+G3+G4</f>
        <v>131908.5</v>
      </c>
    </row>
    <row r="6" spans="1:59" ht="16.5" x14ac:dyDescent="0.2">
      <c r="B6" s="1" t="s">
        <v>84</v>
      </c>
      <c r="C6" s="2">
        <v>100</v>
      </c>
      <c r="D6" s="1" t="s">
        <v>76</v>
      </c>
      <c r="E6" s="3">
        <v>0.1</v>
      </c>
      <c r="F6" s="1" t="s">
        <v>92</v>
      </c>
      <c r="G6" s="2">
        <f>G5*(1+E14)</f>
        <v>164885.625</v>
      </c>
    </row>
    <row r="7" spans="1:59" ht="16.5" x14ac:dyDescent="0.2">
      <c r="B7" s="1"/>
      <c r="C7" s="1"/>
      <c r="D7" s="1" t="s">
        <v>78</v>
      </c>
      <c r="E7" s="3">
        <v>0.5</v>
      </c>
      <c r="F7" s="1" t="s">
        <v>93</v>
      </c>
      <c r="G7" s="2">
        <f>G6+G6*C5*0.2</f>
        <v>362748.375</v>
      </c>
    </row>
    <row r="8" spans="1:59" ht="16.5" x14ac:dyDescent="0.2">
      <c r="B8" s="1" t="s">
        <v>69</v>
      </c>
      <c r="C8" s="2">
        <v>800000</v>
      </c>
      <c r="D8" s="1" t="s">
        <v>79</v>
      </c>
      <c r="E8" s="3">
        <v>0.2</v>
      </c>
      <c r="F8" s="1"/>
      <c r="G8" s="2"/>
    </row>
    <row r="9" spans="1:59" ht="16.5" x14ac:dyDescent="0.2">
      <c r="B9" s="1"/>
      <c r="C9" s="2"/>
      <c r="D9" s="1" t="s">
        <v>80</v>
      </c>
      <c r="E9" s="3">
        <v>0.2</v>
      </c>
      <c r="F9" s="1"/>
      <c r="G9" s="2"/>
    </row>
    <row r="10" spans="1:59" ht="16.5" x14ac:dyDescent="0.2">
      <c r="B10" s="1"/>
      <c r="C10" s="1"/>
      <c r="D10" s="1" t="s">
        <v>81</v>
      </c>
      <c r="E10" s="3">
        <f>12%+4%</f>
        <v>0.16</v>
      </c>
      <c r="F10" s="1" t="s">
        <v>89</v>
      </c>
      <c r="G10" s="2">
        <f>C3+C3*C5*0.2</f>
        <v>231000</v>
      </c>
    </row>
    <row r="11" spans="1:59" ht="16.5" x14ac:dyDescent="0.2">
      <c r="B11" s="1"/>
      <c r="C11" s="1"/>
      <c r="D11" s="1" t="s">
        <v>85</v>
      </c>
      <c r="E11" s="2">
        <v>4912.5</v>
      </c>
      <c r="F11" s="1" t="s">
        <v>90</v>
      </c>
      <c r="G11" s="2">
        <f>(G10+G3+G4)*1.25</f>
        <v>322385.625</v>
      </c>
    </row>
    <row r="12" spans="1:59" ht="16.5" x14ac:dyDescent="0.2">
      <c r="B12" s="1"/>
      <c r="C12" s="1"/>
      <c r="D12" s="1" t="s">
        <v>95</v>
      </c>
      <c r="E12" s="2">
        <f>10000+25*C8/1000</f>
        <v>30000</v>
      </c>
      <c r="F12" s="1" t="s">
        <v>94</v>
      </c>
      <c r="G12" s="2">
        <f>G11-G10+G11</f>
        <v>413771.25</v>
      </c>
    </row>
    <row r="13" spans="1:59" ht="16.5" x14ac:dyDescent="0.2">
      <c r="B13" s="1"/>
      <c r="C13" s="1"/>
      <c r="D13" s="1"/>
      <c r="E13" s="1"/>
      <c r="F13" s="1"/>
      <c r="G13" s="1"/>
    </row>
    <row r="14" spans="1:59" ht="16.5" x14ac:dyDescent="0.2">
      <c r="B14" s="1"/>
      <c r="C14" s="1"/>
      <c r="D14" s="1" t="s">
        <v>77</v>
      </c>
      <c r="E14" s="3">
        <v>0.25</v>
      </c>
      <c r="F14" s="1"/>
      <c r="G14" s="1"/>
    </row>
    <row r="15" spans="1:59" ht="16.5" x14ac:dyDescent="0.2">
      <c r="B15" s="1"/>
      <c r="C15" s="1"/>
      <c r="D15" s="1"/>
      <c r="E15" s="1"/>
      <c r="F15" s="1"/>
      <c r="G15" s="1"/>
    </row>
    <row r="16" spans="1:59" ht="16.5" x14ac:dyDescent="0.2">
      <c r="B16" s="1"/>
      <c r="C16" s="1"/>
      <c r="D16" s="1"/>
      <c r="E16" s="1"/>
      <c r="F16" s="1"/>
      <c r="G16" s="1"/>
    </row>
    <row r="17" spans="2:7" ht="16.5" x14ac:dyDescent="0.2">
      <c r="B17" s="1"/>
      <c r="C17" s="1"/>
      <c r="D17" s="1"/>
      <c r="E17" s="1"/>
      <c r="F17" s="1"/>
      <c r="G17" s="1"/>
    </row>
    <row r="18" spans="2:7" ht="16.5" x14ac:dyDescent="0.2">
      <c r="B18" s="1"/>
      <c r="C18" s="1"/>
      <c r="D18" s="1"/>
      <c r="E18" s="1"/>
      <c r="F18" s="1"/>
      <c r="G18" s="1"/>
    </row>
    <row r="19" spans="2:7" ht="16.5" x14ac:dyDescent="0.2">
      <c r="B19" s="1"/>
      <c r="C19" s="1"/>
      <c r="D19" s="1"/>
      <c r="E19" s="1"/>
      <c r="F19" s="1"/>
      <c r="G19" s="1"/>
    </row>
  </sheetData>
  <mergeCells count="3">
    <mergeCell ref="F2:G2"/>
    <mergeCell ref="B2:C2"/>
    <mergeCell ref="D2:E2"/>
  </mergeCells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A5D77-E568-481C-A11A-F771E507E90A}">
  <dimension ref="A2:BK35"/>
  <sheetViews>
    <sheetView tabSelected="1" workbookViewId="0">
      <selection activeCell="K16" sqref="K16"/>
    </sheetView>
  </sheetViews>
  <sheetFormatPr defaultColWidth="9" defaultRowHeight="14.25" x14ac:dyDescent="0.2"/>
  <cols>
    <col min="2" max="2" width="26.875" bestFit="1" customWidth="1"/>
    <col min="3" max="3" width="11.5" bestFit="1" customWidth="1"/>
    <col min="4" max="4" width="19.625" bestFit="1" customWidth="1"/>
    <col min="5" max="6" width="8.5" customWidth="1"/>
    <col min="7" max="7" width="19.625" bestFit="1" customWidth="1"/>
    <col min="8" max="9" width="8.5" customWidth="1"/>
    <col min="10" max="10" width="22" bestFit="1" customWidth="1"/>
    <col min="11" max="11" width="13.75" customWidth="1"/>
  </cols>
  <sheetData>
    <row r="2" spans="1:63" s="5" customFormat="1" ht="19.5" x14ac:dyDescent="0.3">
      <c r="A2"/>
      <c r="B2" s="43" t="s">
        <v>0</v>
      </c>
      <c r="C2" s="43"/>
      <c r="D2" s="43" t="s">
        <v>96</v>
      </c>
      <c r="E2" s="43"/>
      <c r="F2" s="36"/>
      <c r="G2" s="43" t="s">
        <v>133</v>
      </c>
      <c r="H2" s="43"/>
      <c r="I2" s="36"/>
      <c r="J2" s="43" t="s">
        <v>97</v>
      </c>
      <c r="K2" s="43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</row>
    <row r="3" spans="1:63" ht="16.5" x14ac:dyDescent="0.2">
      <c r="B3" s="1" t="s">
        <v>132</v>
      </c>
      <c r="C3" s="2">
        <v>80423</v>
      </c>
      <c r="D3" s="21" t="s">
        <v>98</v>
      </c>
      <c r="E3" s="32">
        <f>3%+10%+C8/50000*1%</f>
        <v>0.37</v>
      </c>
      <c r="F3" s="37"/>
      <c r="G3" s="21" t="s">
        <v>151</v>
      </c>
      <c r="H3" s="32"/>
      <c r="I3" s="37">
        <v>0.5</v>
      </c>
      <c r="J3" s="21" t="s">
        <v>99</v>
      </c>
      <c r="K3" s="39">
        <f>C4*(SUM(E3:E21))*100</f>
        <v>35250.703200000004</v>
      </c>
    </row>
    <row r="4" spans="1:63" ht="16.5" x14ac:dyDescent="0.2">
      <c r="B4" s="1" t="s">
        <v>146</v>
      </c>
      <c r="C4" s="2">
        <v>120</v>
      </c>
      <c r="D4" s="21" t="s">
        <v>100</v>
      </c>
      <c r="E4" s="22">
        <v>0.3</v>
      </c>
      <c r="F4" s="37"/>
      <c r="G4" s="21"/>
      <c r="H4" s="22"/>
      <c r="I4" s="37"/>
      <c r="J4" s="33" t="s">
        <v>101</v>
      </c>
      <c r="K4" s="40">
        <f>SUM(E23:E33)</f>
        <v>39218.5</v>
      </c>
    </row>
    <row r="5" spans="1:63" ht="16.5" x14ac:dyDescent="0.2">
      <c r="B5" s="1" t="s">
        <v>71</v>
      </c>
      <c r="C5" s="2">
        <f>5+1</f>
        <v>6</v>
      </c>
      <c r="D5" s="21" t="s">
        <v>102</v>
      </c>
      <c r="E5" s="30">
        <f>20%+C7/50000*1%</f>
        <v>0.58755859999999993</v>
      </c>
      <c r="F5" s="37"/>
      <c r="G5" s="21"/>
      <c r="H5" s="30"/>
      <c r="I5" s="37"/>
      <c r="J5" s="21" t="s">
        <v>144</v>
      </c>
      <c r="K5" s="39">
        <f>C14*(SUM(H3:H21))*100</f>
        <v>7740.0000000000009</v>
      </c>
    </row>
    <row r="6" spans="1:63" ht="16.5" x14ac:dyDescent="0.2">
      <c r="B6" s="1" t="s">
        <v>126</v>
      </c>
      <c r="C6" s="2">
        <v>3547</v>
      </c>
      <c r="D6" s="21" t="s">
        <v>103</v>
      </c>
      <c r="E6" s="22">
        <v>0.1</v>
      </c>
      <c r="F6" s="37"/>
      <c r="G6" s="21"/>
      <c r="H6" s="22"/>
      <c r="I6" s="37"/>
      <c r="J6" s="33" t="s">
        <v>145</v>
      </c>
      <c r="K6" s="40">
        <f>SUM(H23:H33)</f>
        <v>258920</v>
      </c>
    </row>
    <row r="7" spans="1:63" ht="16.5" x14ac:dyDescent="0.2">
      <c r="B7" s="1" t="s">
        <v>104</v>
      </c>
      <c r="C7" s="29">
        <f>C10+C6*71+C11*5</f>
        <v>1937793</v>
      </c>
      <c r="D7" s="21" t="s">
        <v>105</v>
      </c>
      <c r="E7" s="22">
        <v>0.5</v>
      </c>
      <c r="F7" s="37"/>
      <c r="G7" s="21"/>
      <c r="H7" s="22"/>
      <c r="I7" s="37"/>
      <c r="J7" s="1"/>
      <c r="K7" s="41"/>
    </row>
    <row r="8" spans="1:63" ht="16.5" x14ac:dyDescent="0.2">
      <c r="B8" s="1" t="s">
        <v>106</v>
      </c>
      <c r="C8" s="35">
        <v>1200000</v>
      </c>
      <c r="D8" s="21" t="s">
        <v>107</v>
      </c>
      <c r="E8" s="22">
        <v>0.2</v>
      </c>
      <c r="F8" s="37"/>
      <c r="G8" s="21"/>
      <c r="H8" s="22"/>
      <c r="I8" s="37"/>
      <c r="J8" s="1"/>
      <c r="K8" s="41"/>
    </row>
    <row r="9" spans="1:63" ht="16.5" x14ac:dyDescent="0.2">
      <c r="B9" s="1" t="s">
        <v>69</v>
      </c>
      <c r="C9" s="35">
        <v>700000</v>
      </c>
      <c r="D9" s="21" t="s">
        <v>108</v>
      </c>
      <c r="E9" s="22">
        <v>0</v>
      </c>
      <c r="F9" s="37">
        <v>0.2</v>
      </c>
      <c r="G9" s="21" t="s">
        <v>108</v>
      </c>
      <c r="H9" s="22">
        <v>0</v>
      </c>
      <c r="I9" s="37">
        <v>0.2</v>
      </c>
      <c r="J9" s="1" t="s">
        <v>129</v>
      </c>
      <c r="K9" s="41">
        <f>C13+C4*(E3+E4+E5+E6+E10+E11+E16+E17+E18)*100</f>
        <v>109450.7032</v>
      </c>
    </row>
    <row r="10" spans="1:63" ht="16.5" x14ac:dyDescent="0.2">
      <c r="B10" s="1" t="s">
        <v>127</v>
      </c>
      <c r="C10" s="29">
        <v>1235956</v>
      </c>
      <c r="D10" s="21" t="s">
        <v>109</v>
      </c>
      <c r="E10" s="22">
        <v>0</v>
      </c>
      <c r="F10" s="37">
        <v>0.16</v>
      </c>
      <c r="G10" s="21" t="s">
        <v>152</v>
      </c>
      <c r="H10" s="22">
        <v>0</v>
      </c>
      <c r="I10" s="37">
        <v>0.16</v>
      </c>
      <c r="J10" s="1" t="s">
        <v>130</v>
      </c>
      <c r="K10" s="41">
        <f>C12+C14*(H16+H17)*100+C15*H35</f>
        <v>164300</v>
      </c>
    </row>
    <row r="11" spans="1:63" ht="16.5" x14ac:dyDescent="0.2">
      <c r="B11" s="1" t="s">
        <v>128</v>
      </c>
      <c r="C11" s="35">
        <v>90000</v>
      </c>
      <c r="D11" s="21" t="s">
        <v>110</v>
      </c>
      <c r="E11" s="22">
        <v>0</v>
      </c>
      <c r="F11" s="37">
        <v>0.14000000000000001</v>
      </c>
      <c r="G11" s="21"/>
      <c r="H11" s="22"/>
      <c r="I11" s="37"/>
      <c r="J11" s="1" t="s">
        <v>122</v>
      </c>
      <c r="K11" s="41">
        <f>K9*(1+C5*0.2)</f>
        <v>240791.54704000003</v>
      </c>
    </row>
    <row r="12" spans="1:63" ht="16.5" x14ac:dyDescent="0.2">
      <c r="B12" s="1" t="s">
        <v>150</v>
      </c>
      <c r="C12" s="29">
        <v>90000</v>
      </c>
      <c r="D12" s="21" t="s">
        <v>111</v>
      </c>
      <c r="E12" s="22">
        <v>0</v>
      </c>
      <c r="F12" s="37">
        <v>0.2</v>
      </c>
      <c r="G12" s="21"/>
      <c r="H12" s="22"/>
      <c r="I12" s="37"/>
      <c r="J12" s="1" t="s">
        <v>143</v>
      </c>
      <c r="K12" s="41">
        <f>C12+K5+K6+C15*H34</f>
        <v>440660</v>
      </c>
    </row>
    <row r="13" spans="1:63" ht="16.5" x14ac:dyDescent="0.2">
      <c r="B13" s="1" t="s">
        <v>131</v>
      </c>
      <c r="C13" s="2">
        <v>85000</v>
      </c>
      <c r="D13" s="21" t="s">
        <v>112</v>
      </c>
      <c r="E13" s="22">
        <v>0.2</v>
      </c>
      <c r="F13" s="37"/>
      <c r="G13" s="21" t="s">
        <v>112</v>
      </c>
      <c r="H13" s="22">
        <v>0.2</v>
      </c>
      <c r="I13" s="37"/>
      <c r="J13" s="1" t="s">
        <v>94</v>
      </c>
      <c r="K13" s="41">
        <f>C3+C3*C5*0.2</f>
        <v>176930.6</v>
      </c>
    </row>
    <row r="14" spans="1:63" ht="16.5" x14ac:dyDescent="0.2">
      <c r="B14" s="1" t="s">
        <v>149</v>
      </c>
      <c r="C14" s="2">
        <v>172</v>
      </c>
      <c r="D14" s="21" t="s">
        <v>113</v>
      </c>
      <c r="E14" s="22">
        <v>0</v>
      </c>
      <c r="F14" s="37">
        <v>0.1</v>
      </c>
      <c r="G14" s="21"/>
      <c r="H14" s="22"/>
      <c r="I14" s="37"/>
      <c r="J14" s="1" t="s">
        <v>90</v>
      </c>
      <c r="K14" s="41">
        <f>(K13+K3+K4)*1.25</f>
        <v>314249.75400000002</v>
      </c>
    </row>
    <row r="15" spans="1:63" ht="16.5" x14ac:dyDescent="0.2">
      <c r="B15" s="1" t="s">
        <v>148</v>
      </c>
      <c r="C15" s="2">
        <v>28000</v>
      </c>
      <c r="D15" s="21" t="s">
        <v>114</v>
      </c>
      <c r="E15" s="22">
        <v>0</v>
      </c>
      <c r="F15" s="37">
        <v>0.4</v>
      </c>
      <c r="G15" s="21"/>
      <c r="H15" s="22"/>
      <c r="I15" s="37"/>
      <c r="J15" s="1"/>
      <c r="K15" s="41"/>
    </row>
    <row r="16" spans="1:63" ht="16.5" x14ac:dyDescent="0.2">
      <c r="B16" s="1"/>
      <c r="C16" s="1"/>
      <c r="D16" s="21" t="s">
        <v>115</v>
      </c>
      <c r="E16" s="22">
        <v>0.1</v>
      </c>
      <c r="F16" s="37"/>
      <c r="G16" s="21" t="s">
        <v>115</v>
      </c>
      <c r="H16" s="22">
        <v>0.05</v>
      </c>
      <c r="I16" s="37"/>
      <c r="J16" s="1"/>
      <c r="K16" s="41"/>
    </row>
    <row r="17" spans="2:11" ht="16.5" x14ac:dyDescent="0.2">
      <c r="B17" s="1"/>
      <c r="C17" s="1"/>
      <c r="D17" s="21" t="s">
        <v>136</v>
      </c>
      <c r="E17" s="22">
        <v>0.5</v>
      </c>
      <c r="F17" s="37">
        <v>0.3</v>
      </c>
      <c r="G17" s="21" t="s">
        <v>136</v>
      </c>
      <c r="H17" s="22">
        <v>0.2</v>
      </c>
      <c r="I17" s="37">
        <v>0.2</v>
      </c>
      <c r="J17" s="1"/>
      <c r="K17" s="41"/>
    </row>
    <row r="18" spans="2:11" ht="16.5" x14ac:dyDescent="0.2">
      <c r="B18" s="1"/>
      <c r="C18" s="1"/>
      <c r="D18" s="21" t="s">
        <v>116</v>
      </c>
      <c r="E18" s="22">
        <v>0.08</v>
      </c>
      <c r="F18" s="37"/>
      <c r="G18" s="21" t="s">
        <v>147</v>
      </c>
      <c r="H18" s="22">
        <v>0</v>
      </c>
      <c r="I18" s="37">
        <v>0.1</v>
      </c>
      <c r="J18" s="1"/>
      <c r="K18" s="41"/>
    </row>
    <row r="19" spans="2:11" ht="16.5" x14ac:dyDescent="0.2">
      <c r="B19" s="1"/>
      <c r="C19" s="1"/>
      <c r="D19" s="21"/>
      <c r="E19" s="22"/>
      <c r="F19" s="37"/>
      <c r="G19" s="21"/>
      <c r="H19" s="22"/>
      <c r="I19" s="37"/>
      <c r="J19" s="1"/>
      <c r="K19" s="41"/>
    </row>
    <row r="20" spans="2:11" ht="16.5" x14ac:dyDescent="0.2">
      <c r="B20" s="1"/>
      <c r="C20" s="1"/>
      <c r="D20" s="21"/>
      <c r="E20" s="22"/>
      <c r="F20" s="37"/>
      <c r="G20" s="21"/>
      <c r="H20" s="22"/>
      <c r="I20" s="37"/>
      <c r="J20" s="1"/>
      <c r="K20" s="41"/>
    </row>
    <row r="21" spans="2:11" ht="16.5" x14ac:dyDescent="0.2">
      <c r="B21" s="1"/>
      <c r="C21" s="1"/>
      <c r="D21" s="21"/>
      <c r="E21" s="22"/>
      <c r="F21" s="37"/>
      <c r="G21" s="21"/>
      <c r="H21" s="22"/>
      <c r="I21" s="37"/>
      <c r="J21" s="1"/>
      <c r="K21" s="2"/>
    </row>
    <row r="22" spans="2:11" ht="16.5" x14ac:dyDescent="0.2">
      <c r="B22" s="1"/>
      <c r="C22" s="1"/>
      <c r="D22" s="1"/>
      <c r="E22" s="3"/>
      <c r="F22" s="3"/>
      <c r="G22" s="1"/>
      <c r="H22" s="3"/>
      <c r="I22" s="3"/>
      <c r="J22" s="1"/>
      <c r="K22" s="2"/>
    </row>
    <row r="23" spans="2:11" ht="16.5" x14ac:dyDescent="0.2">
      <c r="B23" s="1"/>
      <c r="C23" s="1"/>
      <c r="D23" s="33" t="s">
        <v>95</v>
      </c>
      <c r="E23" s="34">
        <f>10000+25*C9/1000</f>
        <v>27500</v>
      </c>
      <c r="F23" s="38"/>
      <c r="G23" s="33" t="s">
        <v>142</v>
      </c>
      <c r="H23" s="34">
        <v>240000</v>
      </c>
      <c r="I23" s="38"/>
      <c r="J23" s="1"/>
      <c r="K23" s="1"/>
    </row>
    <row r="24" spans="2:11" ht="16.5" x14ac:dyDescent="0.2">
      <c r="B24" s="1"/>
      <c r="C24" s="1"/>
      <c r="D24" s="33" t="s">
        <v>117</v>
      </c>
      <c r="E24" s="34">
        <v>4912.5</v>
      </c>
      <c r="F24" s="38"/>
      <c r="G24" s="33" t="s">
        <v>141</v>
      </c>
      <c r="H24" s="34">
        <v>11000</v>
      </c>
      <c r="I24" s="38"/>
      <c r="J24" s="1"/>
      <c r="K24" s="1"/>
    </row>
    <row r="25" spans="2:11" ht="16.5" x14ac:dyDescent="0.2">
      <c r="B25" s="1"/>
      <c r="C25" s="1"/>
      <c r="D25" s="33" t="s">
        <v>43</v>
      </c>
      <c r="E25" s="34">
        <v>4000</v>
      </c>
      <c r="F25" s="38"/>
      <c r="G25" s="33" t="s">
        <v>137</v>
      </c>
      <c r="H25" s="34">
        <v>1200</v>
      </c>
      <c r="I25" s="38"/>
      <c r="J25" s="1"/>
      <c r="K25" s="1"/>
    </row>
    <row r="26" spans="2:11" ht="16.5" x14ac:dyDescent="0.2">
      <c r="B26" s="1"/>
      <c r="C26" s="1"/>
      <c r="D26" s="33" t="s">
        <v>118</v>
      </c>
      <c r="E26" s="34">
        <v>118</v>
      </c>
      <c r="F26" s="38">
        <v>118</v>
      </c>
      <c r="G26" s="33" t="s">
        <v>138</v>
      </c>
      <c r="H26" s="34">
        <v>2520</v>
      </c>
      <c r="I26" s="38"/>
      <c r="J26" s="1"/>
      <c r="K26" s="1"/>
    </row>
    <row r="27" spans="2:11" ht="16.5" x14ac:dyDescent="0.2">
      <c r="B27" s="1"/>
      <c r="C27" s="1"/>
      <c r="D27" s="33" t="s">
        <v>119</v>
      </c>
      <c r="E27" s="34">
        <v>200</v>
      </c>
      <c r="F27" s="38">
        <v>200</v>
      </c>
      <c r="G27" s="33" t="s">
        <v>135</v>
      </c>
      <c r="H27" s="34">
        <v>70</v>
      </c>
      <c r="I27" s="38">
        <v>70</v>
      </c>
      <c r="J27" s="1"/>
      <c r="K27" s="1"/>
    </row>
    <row r="28" spans="2:11" ht="16.5" x14ac:dyDescent="0.2">
      <c r="B28" s="1"/>
      <c r="C28" s="1"/>
      <c r="D28" s="33" t="s">
        <v>115</v>
      </c>
      <c r="E28" s="34">
        <v>100</v>
      </c>
      <c r="F28" s="38"/>
      <c r="G28" s="33" t="s">
        <v>115</v>
      </c>
      <c r="H28" s="34">
        <v>70</v>
      </c>
      <c r="I28" s="38"/>
      <c r="J28" s="1"/>
      <c r="K28" s="1"/>
    </row>
    <row r="29" spans="2:11" ht="16.5" x14ac:dyDescent="0.2">
      <c r="B29" s="1"/>
      <c r="C29" s="1"/>
      <c r="D29" s="33" t="s">
        <v>136</v>
      </c>
      <c r="E29" s="34">
        <v>800</v>
      </c>
      <c r="F29" s="38">
        <v>100</v>
      </c>
      <c r="G29" s="33" t="s">
        <v>136</v>
      </c>
      <c r="H29" s="34">
        <v>100</v>
      </c>
      <c r="I29" s="38">
        <v>100</v>
      </c>
      <c r="J29" s="1"/>
      <c r="K29" s="1"/>
    </row>
    <row r="30" spans="2:11" ht="16.5" x14ac:dyDescent="0.2">
      <c r="B30" s="8"/>
      <c r="C30" s="8"/>
      <c r="D30" s="33" t="s">
        <v>116</v>
      </c>
      <c r="E30" s="34">
        <v>75</v>
      </c>
      <c r="F30" s="38"/>
      <c r="G30" s="33" t="s">
        <v>139</v>
      </c>
      <c r="H30" s="34">
        <v>3600</v>
      </c>
      <c r="I30" s="38"/>
      <c r="J30" s="8"/>
      <c r="K30" s="8"/>
    </row>
    <row r="31" spans="2:11" ht="16.5" x14ac:dyDescent="0.2">
      <c r="B31" s="8"/>
      <c r="C31" s="8"/>
      <c r="D31" s="33" t="s">
        <v>120</v>
      </c>
      <c r="E31" s="34">
        <v>82</v>
      </c>
      <c r="F31" s="38">
        <v>2600</v>
      </c>
      <c r="G31" s="33"/>
      <c r="H31" s="34"/>
      <c r="I31" s="38"/>
      <c r="J31" s="8"/>
      <c r="K31" s="8"/>
    </row>
    <row r="32" spans="2:11" ht="16.5" x14ac:dyDescent="0.2">
      <c r="B32" s="8"/>
      <c r="C32" s="8"/>
      <c r="D32" s="33" t="s">
        <v>121</v>
      </c>
      <c r="E32" s="34">
        <v>1071</v>
      </c>
      <c r="F32" s="38"/>
      <c r="G32" s="33"/>
      <c r="H32" s="34"/>
      <c r="I32" s="38"/>
      <c r="J32" s="8"/>
      <c r="K32" s="8"/>
    </row>
    <row r="33" spans="2:11" ht="16.5" x14ac:dyDescent="0.2">
      <c r="B33" s="8"/>
      <c r="C33" s="8"/>
      <c r="D33" s="33" t="s">
        <v>42</v>
      </c>
      <c r="E33" s="34">
        <v>360</v>
      </c>
      <c r="F33" s="38"/>
      <c r="G33" s="33" t="s">
        <v>42</v>
      </c>
      <c r="H33" s="34">
        <v>360</v>
      </c>
      <c r="I33" s="38"/>
      <c r="J33" s="8"/>
      <c r="K33" s="8"/>
    </row>
    <row r="34" spans="2:11" ht="16.5" x14ac:dyDescent="0.2">
      <c r="B34" s="8"/>
      <c r="C34" s="8"/>
      <c r="D34" s="8"/>
      <c r="E34" s="8"/>
      <c r="F34" s="8"/>
      <c r="G34" s="1" t="s">
        <v>140</v>
      </c>
      <c r="H34" s="2">
        <v>3</v>
      </c>
      <c r="I34" s="8"/>
      <c r="J34" s="8"/>
      <c r="K34" s="8"/>
    </row>
    <row r="35" spans="2:11" ht="16.5" x14ac:dyDescent="0.2">
      <c r="B35" s="8"/>
      <c r="C35" s="8"/>
      <c r="D35" s="1" t="s">
        <v>77</v>
      </c>
      <c r="E35" s="3">
        <v>0.25</v>
      </c>
      <c r="F35" s="3"/>
      <c r="G35" s="1" t="s">
        <v>134</v>
      </c>
      <c r="H35" s="2">
        <v>2.5</v>
      </c>
      <c r="I35" s="3"/>
      <c r="J35" s="8"/>
      <c r="K35" s="8"/>
    </row>
  </sheetData>
  <mergeCells count="4">
    <mergeCell ref="B2:C2"/>
    <mergeCell ref="D2:E2"/>
    <mergeCell ref="J2:K2"/>
    <mergeCell ref="G2:H2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61D51-ABFA-4E30-9CE7-4748D1BCDCF5}">
  <dimension ref="B4:G21"/>
  <sheetViews>
    <sheetView zoomScale="115" zoomScaleNormal="115" workbookViewId="0">
      <selection activeCell="F24" sqref="F24"/>
    </sheetView>
  </sheetViews>
  <sheetFormatPr defaultColWidth="9" defaultRowHeight="14.25" x14ac:dyDescent="0.2"/>
  <cols>
    <col min="2" max="2" width="26.875" bestFit="1" customWidth="1"/>
    <col min="3" max="3" width="11.5" bestFit="1" customWidth="1"/>
    <col min="4" max="4" width="15" bestFit="1" customWidth="1"/>
    <col min="5" max="5" width="8.5" customWidth="1"/>
    <col min="6" max="6" width="22" bestFit="1" customWidth="1"/>
    <col min="7" max="7" width="8.5" bestFit="1" customWidth="1"/>
  </cols>
  <sheetData>
    <row r="4" spans="2:7" ht="19.5" x14ac:dyDescent="0.2">
      <c r="B4" s="43" t="s">
        <v>0</v>
      </c>
      <c r="C4" s="43"/>
      <c r="D4" s="43" t="s">
        <v>72</v>
      </c>
      <c r="E4" s="43"/>
      <c r="F4" s="43" t="s">
        <v>70</v>
      </c>
      <c r="G4" s="43"/>
    </row>
    <row r="5" spans="2:7" ht="16.5" x14ac:dyDescent="0.2">
      <c r="B5" s="1" t="s">
        <v>83</v>
      </c>
      <c r="C5" s="2">
        <v>111743</v>
      </c>
      <c r="D5" s="1" t="s">
        <v>73</v>
      </c>
      <c r="E5" s="3">
        <f>3%+10%+C10/50000*1%</f>
        <v>0.29000000000000004</v>
      </c>
      <c r="F5" s="1" t="s">
        <v>86</v>
      </c>
      <c r="G5" s="2">
        <f>C8*(E5+E6+E7+E8+E9+E10+E11+E12)*100</f>
        <v>21707.279999999999</v>
      </c>
    </row>
    <row r="6" spans="2:7" ht="16.5" x14ac:dyDescent="0.2">
      <c r="B6" s="1" t="s">
        <v>82</v>
      </c>
      <c r="C6" s="2">
        <v>1248000</v>
      </c>
      <c r="D6" s="1" t="s">
        <v>74</v>
      </c>
      <c r="E6" s="3">
        <v>0.3</v>
      </c>
      <c r="F6" s="1" t="s">
        <v>87</v>
      </c>
      <c r="G6" s="2">
        <f>E13+E14</f>
        <v>34912.5</v>
      </c>
    </row>
    <row r="7" spans="2:7" ht="16.5" x14ac:dyDescent="0.2">
      <c r="B7" s="1" t="s">
        <v>71</v>
      </c>
      <c r="C7" s="2">
        <f>5+1</f>
        <v>6</v>
      </c>
      <c r="D7" s="1" t="s">
        <v>75</v>
      </c>
      <c r="E7" s="3">
        <f>20%+C6/50000*1%</f>
        <v>0.4496</v>
      </c>
      <c r="F7" s="1" t="s">
        <v>125</v>
      </c>
      <c r="G7" s="2">
        <f>C5+G5+G6</f>
        <v>168362.78</v>
      </c>
    </row>
    <row r="8" spans="2:7" ht="16.5" x14ac:dyDescent="0.2">
      <c r="B8" s="1" t="s">
        <v>88</v>
      </c>
      <c r="C8" s="2">
        <v>118</v>
      </c>
      <c r="D8" s="1" t="s">
        <v>76</v>
      </c>
      <c r="E8" s="3">
        <v>0.1</v>
      </c>
      <c r="F8" s="1" t="s">
        <v>124</v>
      </c>
      <c r="G8" s="2">
        <f>G7*(1+E16)</f>
        <v>210453.47500000001</v>
      </c>
    </row>
    <row r="9" spans="2:7" ht="16.5" x14ac:dyDescent="0.2">
      <c r="B9" s="1"/>
      <c r="C9" s="1"/>
      <c r="D9" s="1" t="s">
        <v>78</v>
      </c>
      <c r="E9" s="3">
        <v>0.5</v>
      </c>
      <c r="F9" s="1" t="s">
        <v>123</v>
      </c>
      <c r="G9" s="2">
        <f>G8+G8*C7*0.2</f>
        <v>462997.64500000002</v>
      </c>
    </row>
    <row r="10" spans="2:7" ht="16.5" x14ac:dyDescent="0.2">
      <c r="B10" s="1" t="s">
        <v>69</v>
      </c>
      <c r="C10" s="2">
        <v>800000</v>
      </c>
      <c r="D10" s="1" t="s">
        <v>79</v>
      </c>
      <c r="E10" s="3">
        <v>0.2</v>
      </c>
      <c r="F10" s="1"/>
      <c r="G10" s="2"/>
    </row>
    <row r="11" spans="2:7" ht="16.5" x14ac:dyDescent="0.2">
      <c r="B11" s="1"/>
      <c r="C11" s="2"/>
      <c r="D11" s="1" t="s">
        <v>80</v>
      </c>
      <c r="E11" s="3">
        <v>0</v>
      </c>
      <c r="F11" s="1"/>
      <c r="G11" s="2"/>
    </row>
    <row r="12" spans="2:7" ht="16.5" x14ac:dyDescent="0.2">
      <c r="B12" s="1"/>
      <c r="C12" s="1"/>
      <c r="D12" s="1" t="s">
        <v>81</v>
      </c>
      <c r="E12" s="3">
        <v>0</v>
      </c>
      <c r="F12" s="1" t="s">
        <v>122</v>
      </c>
      <c r="G12" s="2">
        <f>C5+C5*C7*0.2</f>
        <v>245834.6</v>
      </c>
    </row>
    <row r="13" spans="2:7" ht="16.5" x14ac:dyDescent="0.2">
      <c r="B13" s="1"/>
      <c r="C13" s="1"/>
      <c r="D13" s="1" t="s">
        <v>85</v>
      </c>
      <c r="E13" s="2">
        <v>4912.5</v>
      </c>
      <c r="F13" s="1" t="s">
        <v>90</v>
      </c>
      <c r="G13" s="2">
        <f>(G12+G5+G6)*1.25</f>
        <v>378067.97499999998</v>
      </c>
    </row>
    <row r="14" spans="2:7" ht="16.5" x14ac:dyDescent="0.2">
      <c r="B14" s="1"/>
      <c r="C14" s="1"/>
      <c r="D14" s="1" t="s">
        <v>95</v>
      </c>
      <c r="E14" s="2">
        <f>10000+25*C10/1000</f>
        <v>30000</v>
      </c>
      <c r="F14" s="1" t="s">
        <v>94</v>
      </c>
      <c r="G14" s="2">
        <f>G13-G12+G13</f>
        <v>510301.35</v>
      </c>
    </row>
    <row r="15" spans="2:7" ht="16.5" x14ac:dyDescent="0.2">
      <c r="B15" s="1"/>
      <c r="C15" s="1"/>
      <c r="D15" s="1"/>
      <c r="E15" s="1"/>
      <c r="F15" s="1"/>
      <c r="G15" s="1"/>
    </row>
    <row r="16" spans="2:7" ht="16.5" x14ac:dyDescent="0.2">
      <c r="B16" s="1"/>
      <c r="C16" s="1"/>
      <c r="D16" s="1" t="s">
        <v>77</v>
      </c>
      <c r="E16" s="3">
        <v>0.25</v>
      </c>
      <c r="F16" s="1"/>
      <c r="G16" s="1"/>
    </row>
    <row r="17" spans="2:7" ht="16.5" x14ac:dyDescent="0.2">
      <c r="B17" s="1"/>
      <c r="C17" s="1"/>
      <c r="D17" s="1"/>
      <c r="E17" s="1"/>
      <c r="F17" s="1"/>
      <c r="G17" s="1"/>
    </row>
    <row r="18" spans="2:7" ht="16.5" x14ac:dyDescent="0.2">
      <c r="B18" s="1"/>
      <c r="C18" s="1"/>
      <c r="D18" s="1"/>
      <c r="E18" s="1"/>
      <c r="F18" s="1"/>
      <c r="G18" s="1"/>
    </row>
    <row r="19" spans="2:7" ht="16.5" x14ac:dyDescent="0.2">
      <c r="B19" s="1"/>
      <c r="C19" s="1"/>
      <c r="D19" s="1"/>
      <c r="E19" s="1"/>
      <c r="F19" s="1"/>
      <c r="G19" s="1"/>
    </row>
    <row r="20" spans="2:7" ht="16.5" x14ac:dyDescent="0.2">
      <c r="B20" s="1"/>
      <c r="C20" s="1"/>
      <c r="D20" s="1"/>
      <c r="E20" s="1"/>
      <c r="F20" s="1"/>
      <c r="G20" s="1"/>
    </row>
    <row r="21" spans="2:7" ht="16.5" x14ac:dyDescent="0.2">
      <c r="B21" s="1"/>
      <c r="C21" s="1"/>
      <c r="D21" s="1"/>
      <c r="E21" s="1"/>
      <c r="F21" s="1"/>
      <c r="G21" s="1"/>
    </row>
  </sheetData>
  <mergeCells count="3">
    <mergeCell ref="B4:C4"/>
    <mergeCell ref="D4:E4"/>
    <mergeCell ref="F4:G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未名禅伤害计算</vt:lpstr>
      <vt:lpstr>九变伤害计算</vt:lpstr>
      <vt:lpstr>翻攻击计算</vt:lpstr>
      <vt:lpstr>翻攻击计算模版新</vt:lpstr>
      <vt:lpstr>北辰翻攻击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</dc:creator>
  <cp:lastModifiedBy>wei wang</cp:lastModifiedBy>
  <dcterms:created xsi:type="dcterms:W3CDTF">2015-06-05T18:19:00Z</dcterms:created>
  <dcterms:modified xsi:type="dcterms:W3CDTF">2024-03-02T03:22:09Z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250E6C51C3514E8088B282A9C0887D7F</vt:lpwstr>
  </property>
  <property fmtid="{D5CDD505-2E9C-101B-9397-08002B2CF9AE}" pid="3" name="KSOProductBuildVer">
    <vt:lpwstr>2052-11.1.0.12358</vt:lpwstr>
  </property>
</Properties>
</file>